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3.xml" ContentType="application/vnd.openxmlformats-officedocument.spreadsheetml.pivotTable+xml"/>
  <Override PartName="/xl/drawings/drawing5.xml" ContentType="application/vnd.openxmlformats-officedocument.drawing+xml"/>
  <Override PartName="/xl/ctrlProps/ctrlProp2.xml" ContentType="application/vnd.ms-excel.controlproperties+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slicers/slicer4.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slicers/slicer5.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slicers/slicer6.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slicers/slicer7.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0.xml" ContentType="application/vnd.openxmlformats-officedocument.drawing+xml"/>
  <Override PartName="/xl/slicers/slicer8.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4.xml" ContentType="application/vnd.openxmlformats-officedocument.spreadsheetml.pivotTable+xml"/>
  <Override PartName="/xl/drawings/drawing11.xml" ContentType="application/vnd.openxmlformats-officedocument.drawing+xml"/>
  <Override PartName="/xl/slicers/slicer9.xml" ContentType="application/vnd.ms-excel.slicer+xml"/>
  <Override PartName="/xl/pivotTables/pivotTable15.xml" ContentType="application/vnd.openxmlformats-officedocument.spreadsheetml.pivotTable+xml"/>
  <Override PartName="/xl/drawings/drawing12.xml" ContentType="application/vnd.openxmlformats-officedocument.drawing+xml"/>
  <Override PartName="/xl/slicers/slicer10.xml" ContentType="application/vnd.ms-excel.slicer+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E:\SHAMLEENA\"/>
    </mc:Choice>
  </mc:AlternateContent>
  <xr:revisionPtr revIDLastSave="0" documentId="13_ncr:1_{ACE16CFC-5725-4059-BCD7-E6E937E72D4E}" xr6:coauthVersionLast="47" xr6:coauthVersionMax="47" xr10:uidLastSave="{00000000-0000-0000-0000-000000000000}"/>
  <bookViews>
    <workbookView xWindow="-120" yWindow="-120" windowWidth="15600" windowHeight="11160" firstSheet="4" activeTab="4" xr2:uid="{617B1942-DB90-4026-A56F-5DE6EBC8A223}"/>
  </bookViews>
  <sheets>
    <sheet name="Sheet11" sheetId="12" state="hidden" r:id="rId1"/>
    <sheet name="Sheet10" sheetId="11" state="hidden" r:id="rId2"/>
    <sheet name="Sheet1" sheetId="18" state="hidden" r:id="rId3"/>
    <sheet name="START" sheetId="1" r:id="rId4"/>
    <sheet name="DATA" sheetId="2" r:id="rId5"/>
    <sheet name="DASHBOARD" sheetId="8" r:id="rId6"/>
    <sheet name="GENDER" sheetId="13" r:id="rId7"/>
    <sheet name="SEGMENT" sheetId="14" r:id="rId8"/>
    <sheet name="REGION" sheetId="15" r:id="rId9"/>
    <sheet name="CITY" sheetId="16" r:id="rId10"/>
    <sheet name="MONTH" sheetId="17" r:id="rId11"/>
    <sheet name="TOP PRODUCTS" sheetId="19" r:id="rId12"/>
    <sheet name="TOP CUSTOMERS" sheetId="20" r:id="rId13"/>
    <sheet name="STOCK" sheetId="21" r:id="rId14"/>
  </sheets>
  <definedNames>
    <definedName name="Slicer_CITY">#N/A</definedName>
    <definedName name="Slicer_CITY1">#N/A</definedName>
    <definedName name="Slicer_GENDER">#N/A</definedName>
    <definedName name="Slicer_MONTH">#N/A</definedName>
    <definedName name="Slicer_MONTH1">#N/A</definedName>
    <definedName name="Slicer_MONTH2">#N/A</definedName>
    <definedName name="Slicer_REGION">#N/A</definedName>
    <definedName name="Slicer_SEGMENT">#N/A</definedName>
  </definedNames>
  <calcPr calcId="191029"/>
  <pivotCaches>
    <pivotCache cacheId="0" r:id="rId15"/>
    <pivotCache cacheId="1"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38" i="21" l="1"/>
  <c r="L39" i="21"/>
  <c r="L40" i="21"/>
  <c r="L41" i="21"/>
  <c r="L42" i="21"/>
  <c r="L43" i="21"/>
  <c r="L44" i="21"/>
  <c r="J3" i="21"/>
  <c r="J33" i="21"/>
  <c r="J34" i="21"/>
  <c r="J35" i="21"/>
  <c r="J36" i="21"/>
  <c r="J37" i="21"/>
  <c r="J38" i="21"/>
  <c r="J39" i="21"/>
  <c r="J40" i="21"/>
  <c r="J41" i="21"/>
  <c r="J42" i="21"/>
  <c r="J43" i="21"/>
  <c r="J4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4" i="21"/>
  <c r="I3" i="21"/>
  <c r="I4" i="21"/>
  <c r="I5" i="21"/>
  <c r="I6" i="21"/>
  <c r="K6" i="21" s="1"/>
  <c r="L6" i="21" s="1"/>
  <c r="I7" i="21"/>
  <c r="K7" i="21" s="1"/>
  <c r="L7" i="21" s="1"/>
  <c r="I8" i="21"/>
  <c r="I9" i="21"/>
  <c r="I10" i="21"/>
  <c r="I11" i="21"/>
  <c r="I12" i="21"/>
  <c r="I13" i="21"/>
  <c r="I14" i="21"/>
  <c r="I15" i="21"/>
  <c r="I16" i="21"/>
  <c r="I17" i="21"/>
  <c r="I18" i="21"/>
  <c r="K18" i="21" s="1"/>
  <c r="L18" i="21" s="1"/>
  <c r="I19" i="21"/>
  <c r="I20" i="21"/>
  <c r="I21" i="21"/>
  <c r="I22" i="21"/>
  <c r="I23" i="21"/>
  <c r="I24" i="21"/>
  <c r="I25" i="21"/>
  <c r="I26" i="21"/>
  <c r="K26" i="21" s="1"/>
  <c r="L26" i="21" s="1"/>
  <c r="I27" i="21"/>
  <c r="I28" i="21"/>
  <c r="I29" i="21"/>
  <c r="I30" i="21"/>
  <c r="K30" i="21" s="1"/>
  <c r="L30" i="21" s="1"/>
  <c r="I31" i="21"/>
  <c r="I32" i="21"/>
  <c r="I33" i="21"/>
  <c r="I34" i="21"/>
  <c r="I35" i="21"/>
  <c r="I36" i="21"/>
  <c r="I37" i="21"/>
  <c r="I38" i="21"/>
  <c r="I39" i="21"/>
  <c r="I40" i="21"/>
  <c r="I41" i="21"/>
  <c r="I42" i="21"/>
  <c r="K42" i="21" s="1"/>
  <c r="I43" i="21"/>
  <c r="I44" i="21"/>
  <c r="BT115" i="12"/>
  <c r="H91" i="12"/>
  <c r="G6" i="8" s="1"/>
  <c r="D78" i="1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2" i="2"/>
  <c r="L6" i="8"/>
  <c r="K22" i="21" l="1"/>
  <c r="L22" i="21" s="1"/>
  <c r="K43" i="21"/>
  <c r="K39" i="21"/>
  <c r="K38" i="21"/>
  <c r="K35" i="21"/>
  <c r="L35" i="21" s="1"/>
  <c r="K34" i="21"/>
  <c r="L34" i="21" s="1"/>
  <c r="K10" i="21"/>
  <c r="L10" i="21" s="1"/>
  <c r="K14" i="21"/>
  <c r="L14" i="21" s="1"/>
  <c r="K44" i="21"/>
  <c r="K36" i="21"/>
  <c r="L36" i="21" s="1"/>
  <c r="K32" i="21"/>
  <c r="L32" i="21" s="1"/>
  <c r="K20" i="21"/>
  <c r="L20" i="21" s="1"/>
  <c r="K16" i="21"/>
  <c r="L16" i="21" s="1"/>
  <c r="K8" i="21"/>
  <c r="L8" i="21" s="1"/>
  <c r="K40" i="21"/>
  <c r="K28" i="21"/>
  <c r="L28" i="21" s="1"/>
  <c r="K24" i="21"/>
  <c r="L24" i="21" s="1"/>
  <c r="K12" i="21"/>
  <c r="L12" i="21" s="1"/>
  <c r="K31" i="21"/>
  <c r="L31" i="21" s="1"/>
  <c r="K27" i="21"/>
  <c r="L27" i="21" s="1"/>
  <c r="K23" i="21"/>
  <c r="L23" i="21" s="1"/>
  <c r="K19" i="21"/>
  <c r="L19" i="21" s="1"/>
  <c r="K15" i="21"/>
  <c r="L15" i="21" s="1"/>
  <c r="K11" i="21"/>
  <c r="L11" i="21" s="1"/>
  <c r="K41" i="21"/>
  <c r="K37" i="21"/>
  <c r="L37" i="21" s="1"/>
  <c r="K33" i="21"/>
  <c r="L33" i="21" s="1"/>
  <c r="K29" i="21"/>
  <c r="L29" i="21" s="1"/>
  <c r="K25" i="21"/>
  <c r="L25" i="21" s="1"/>
  <c r="K21" i="21"/>
  <c r="L21" i="21" s="1"/>
  <c r="K17" i="21"/>
  <c r="L17" i="21" s="1"/>
  <c r="K13" i="21"/>
  <c r="L13" i="21" s="1"/>
  <c r="K9" i="21"/>
  <c r="L9" i="21" s="1"/>
  <c r="K5" i="21"/>
  <c r="L5" i="21" s="1"/>
  <c r="K3" i="21"/>
  <c r="L3" i="21" s="1"/>
  <c r="K4" i="21"/>
  <c r="L4" i="21" s="1"/>
  <c r="F174" i="12"/>
</calcChain>
</file>

<file path=xl/sharedStrings.xml><?xml version="1.0" encoding="utf-8"?>
<sst xmlns="http://schemas.openxmlformats.org/spreadsheetml/2006/main" count="1501" uniqueCount="394">
  <si>
    <t>DATE</t>
  </si>
  <si>
    <t>CUSTOMER NAME</t>
  </si>
  <si>
    <t>PRODUCT ID</t>
  </si>
  <si>
    <t>PRODUCT NAME</t>
  </si>
  <si>
    <t>QUANTITY</t>
  </si>
  <si>
    <t>PRICE(INR)</t>
  </si>
  <si>
    <t>CITY</t>
  </si>
  <si>
    <t>REGION</t>
  </si>
  <si>
    <t>SEGMENT</t>
  </si>
  <si>
    <t>CUSTOMER ID</t>
  </si>
  <si>
    <t>GENDER</t>
  </si>
  <si>
    <t>JOHN DOE</t>
  </si>
  <si>
    <t>JANE SMITH</t>
  </si>
  <si>
    <t>MICHAEL JOHNSON</t>
  </si>
  <si>
    <t>EMILY DAVIS</t>
  </si>
  <si>
    <t>DAVID WILSON</t>
  </si>
  <si>
    <t>SARAH BROWN</t>
  </si>
  <si>
    <t>LISA MILLER</t>
  </si>
  <si>
    <t>ROBERT GARCIA</t>
  </si>
  <si>
    <t>AMANDA WHITE</t>
  </si>
  <si>
    <t xml:space="preserve">SARAH   </t>
  </si>
  <si>
    <t>AARAV SHARMA</t>
  </si>
  <si>
    <t>SIYA GUPTA</t>
  </si>
  <si>
    <t>REYANSH SINGH</t>
  </si>
  <si>
    <t>AADHYA</t>
  </si>
  <si>
    <t>ADVIK</t>
  </si>
  <si>
    <t>ANIKA</t>
  </si>
  <si>
    <t>ANANYA</t>
  </si>
  <si>
    <t>VIVAAN</t>
  </si>
  <si>
    <t>GEORGE</t>
  </si>
  <si>
    <t>ARJUN</t>
  </si>
  <si>
    <t>ZOYA</t>
  </si>
  <si>
    <t>AYAAN</t>
  </si>
  <si>
    <t>AMAIRA</t>
  </si>
  <si>
    <t xml:space="preserve">NORIN </t>
  </si>
  <si>
    <t>SAFNA</t>
  </si>
  <si>
    <t>SANIYA</t>
  </si>
  <si>
    <t>SHAHANA</t>
  </si>
  <si>
    <t>SHADIYA</t>
  </si>
  <si>
    <t>SHAMNA</t>
  </si>
  <si>
    <t>NAHOOFA SHARIN</t>
  </si>
  <si>
    <t>SHAMLEENA</t>
  </si>
  <si>
    <t>DAKSHA</t>
  </si>
  <si>
    <t>ZAIN</t>
  </si>
  <si>
    <t>ISHAL</t>
  </si>
  <si>
    <t xml:space="preserve">AYMA </t>
  </si>
  <si>
    <t>SHAHEENA</t>
  </si>
  <si>
    <t>SHAHMINA</t>
  </si>
  <si>
    <t>SHIRIN</t>
  </si>
  <si>
    <t>NAJID</t>
  </si>
  <si>
    <t>SAFNA SABITH</t>
  </si>
  <si>
    <t>NOURIN</t>
  </si>
  <si>
    <t>SHAHAL</t>
  </si>
  <si>
    <t>SHINURAJ</t>
  </si>
  <si>
    <t>SREELAKSHMI</t>
  </si>
  <si>
    <t>SCARLET</t>
  </si>
  <si>
    <t>JOHN</t>
  </si>
  <si>
    <t>SMITH</t>
  </si>
  <si>
    <t>RAHEEM</t>
  </si>
  <si>
    <t>SEREENA</t>
  </si>
  <si>
    <t>ZAHRA ALI</t>
  </si>
  <si>
    <t>FATHIMA</t>
  </si>
  <si>
    <t>LAILA</t>
  </si>
  <si>
    <t xml:space="preserve">LISA  </t>
  </si>
  <si>
    <t>JENNY</t>
  </si>
  <si>
    <t>ROSE</t>
  </si>
  <si>
    <t>JISOO</t>
  </si>
  <si>
    <t>JEENA</t>
  </si>
  <si>
    <t>AARADHYA</t>
  </si>
  <si>
    <t>AHALYA</t>
  </si>
  <si>
    <t>DWANI</t>
  </si>
  <si>
    <t>WILLIAM</t>
  </si>
  <si>
    <t xml:space="preserve">TOM </t>
  </si>
  <si>
    <t>LIAM</t>
  </si>
  <si>
    <t>HARRY</t>
  </si>
  <si>
    <t>THOMAS</t>
  </si>
  <si>
    <t>TEENA</t>
  </si>
  <si>
    <t>16/1/2024</t>
  </si>
  <si>
    <t>20/1/2024</t>
  </si>
  <si>
    <t>MALE</t>
  </si>
  <si>
    <t>FEMALE</t>
  </si>
  <si>
    <t>CORPORATE</t>
  </si>
  <si>
    <t>CONSUMER</t>
  </si>
  <si>
    <t>HOME OFFICE</t>
  </si>
  <si>
    <t>P001</t>
  </si>
  <si>
    <t>P004</t>
  </si>
  <si>
    <t>P006</t>
  </si>
  <si>
    <t>P011</t>
  </si>
  <si>
    <t>P014</t>
  </si>
  <si>
    <t>P065</t>
  </si>
  <si>
    <t>P098</t>
  </si>
  <si>
    <t>P066</t>
  </si>
  <si>
    <t>P025</t>
  </si>
  <si>
    <t>P087</t>
  </si>
  <si>
    <t>P009</t>
  </si>
  <si>
    <t>P008</t>
  </si>
  <si>
    <t>P010</t>
  </si>
  <si>
    <t>P085</t>
  </si>
  <si>
    <t>P017</t>
  </si>
  <si>
    <t>P020</t>
  </si>
  <si>
    <t>P002</t>
  </si>
  <si>
    <t>P003</t>
  </si>
  <si>
    <t>P019</t>
  </si>
  <si>
    <t>P062</t>
  </si>
  <si>
    <t>P092</t>
  </si>
  <si>
    <t>P112</t>
  </si>
  <si>
    <t>P432</t>
  </si>
  <si>
    <t>P990</t>
  </si>
  <si>
    <t>P090</t>
  </si>
  <si>
    <t>P076</t>
  </si>
  <si>
    <t>P023</t>
  </si>
  <si>
    <t>P086</t>
  </si>
  <si>
    <t>P054</t>
  </si>
  <si>
    <t>P007</t>
  </si>
  <si>
    <t>P948</t>
  </si>
  <si>
    <t>P987</t>
  </si>
  <si>
    <t>P906</t>
  </si>
  <si>
    <t>P786</t>
  </si>
  <si>
    <t>P322</t>
  </si>
  <si>
    <t>P012</t>
  </si>
  <si>
    <t>P015</t>
  </si>
  <si>
    <t>P024</t>
  </si>
  <si>
    <t>P356</t>
  </si>
  <si>
    <t>P028</t>
  </si>
  <si>
    <t>P114</t>
  </si>
  <si>
    <t>P074</t>
  </si>
  <si>
    <t>P005</t>
  </si>
  <si>
    <t>P013</t>
  </si>
  <si>
    <t>P032</t>
  </si>
  <si>
    <t>P132</t>
  </si>
  <si>
    <t>OAT MEAL</t>
  </si>
  <si>
    <t>APPLE</t>
  </si>
  <si>
    <t>BANANA</t>
  </si>
  <si>
    <t>MILK</t>
  </si>
  <si>
    <t>CHEESE</t>
  </si>
  <si>
    <t>YOGURT</t>
  </si>
  <si>
    <t>BUTTER</t>
  </si>
  <si>
    <t>FLOUR</t>
  </si>
  <si>
    <t>PASTA</t>
  </si>
  <si>
    <t>PORK CHOP</t>
  </si>
  <si>
    <t>MUFFINS</t>
  </si>
  <si>
    <t>OLIVE OIL</t>
  </si>
  <si>
    <t>SALT</t>
  </si>
  <si>
    <t>PANCAKE MIX</t>
  </si>
  <si>
    <t>CEREAL</t>
  </si>
  <si>
    <t>NUTS</t>
  </si>
  <si>
    <t>LAUNDRY DETERGENT</t>
  </si>
  <si>
    <t>BODY WASH</t>
  </si>
  <si>
    <t>AIR FRESHNER</t>
  </si>
  <si>
    <t>BATTERIES</t>
  </si>
  <si>
    <t>PET FOOD</t>
  </si>
  <si>
    <t>BIRD SEED</t>
  </si>
  <si>
    <t>VITAMINE SUPPLYMENTS</t>
  </si>
  <si>
    <t>DOG TOYS</t>
  </si>
  <si>
    <t>LIGHT BULBS</t>
  </si>
  <si>
    <t>PET SHAMPOOS</t>
  </si>
  <si>
    <t>RAISINS</t>
  </si>
  <si>
    <t>SUNFLOWER SEEDS</t>
  </si>
  <si>
    <t>CLEANING SPRAY</t>
  </si>
  <si>
    <t>CONDITIONER</t>
  </si>
  <si>
    <t>MUSTARD</t>
  </si>
  <si>
    <t>ICE CREAM</t>
  </si>
  <si>
    <t>PAPER TOWELS</t>
  </si>
  <si>
    <t>COOKING SPRAY</t>
  </si>
  <si>
    <t>SYRUP</t>
  </si>
  <si>
    <t>GRANOLA</t>
  </si>
  <si>
    <t>POTATO CHIPS</t>
  </si>
  <si>
    <t>PRETZELS</t>
  </si>
  <si>
    <t>KETCHUP</t>
  </si>
  <si>
    <t>FROZZEN WAFFLES</t>
  </si>
  <si>
    <t>FROZEN PIZZA</t>
  </si>
  <si>
    <t>TOOTHPASTE</t>
  </si>
  <si>
    <t>FABRIC SOFTNER</t>
  </si>
  <si>
    <t>SOAP</t>
  </si>
  <si>
    <t>HONEY</t>
  </si>
  <si>
    <t>BBQ SAUCE</t>
  </si>
  <si>
    <t>FROZZEN BURRITOS</t>
  </si>
  <si>
    <t>DEODORANT</t>
  </si>
  <si>
    <t>TRASH BAGS</t>
  </si>
  <si>
    <t>CAT LITTER</t>
  </si>
  <si>
    <t>MAYONNAISE</t>
  </si>
  <si>
    <t>EGGS</t>
  </si>
  <si>
    <t>TEA</t>
  </si>
  <si>
    <t>SODA</t>
  </si>
  <si>
    <t>RICE</t>
  </si>
  <si>
    <t>SALMON</t>
  </si>
  <si>
    <t>CHICKEN BREAST</t>
  </si>
  <si>
    <t>LETTUCE</t>
  </si>
  <si>
    <t>GRAPES</t>
  </si>
  <si>
    <t>GROUND BEEF</t>
  </si>
  <si>
    <t>ORANGE</t>
  </si>
  <si>
    <t>BREAD</t>
  </si>
  <si>
    <t>BAGELS</t>
  </si>
  <si>
    <t>CHENNAI</t>
  </si>
  <si>
    <t>KOLKATA</t>
  </si>
  <si>
    <t>PUNE</t>
  </si>
  <si>
    <t>AHMEDABAD</t>
  </si>
  <si>
    <t>LUCKNOW</t>
  </si>
  <si>
    <t>KANPUR</t>
  </si>
  <si>
    <t>NAGPUR</t>
  </si>
  <si>
    <t>INDORE</t>
  </si>
  <si>
    <t>PATNA</t>
  </si>
  <si>
    <t>VADADORA</t>
  </si>
  <si>
    <t>NASHIK</t>
  </si>
  <si>
    <t>MEERUT</t>
  </si>
  <si>
    <t>CHANDIGARH</t>
  </si>
  <si>
    <t>GUWAHATI</t>
  </si>
  <si>
    <t>MADURAI</t>
  </si>
  <si>
    <t>NOIDA</t>
  </si>
  <si>
    <t>THANE</t>
  </si>
  <si>
    <t>DELHI</t>
  </si>
  <si>
    <t>RANCHI</t>
  </si>
  <si>
    <t>ALIGARH</t>
  </si>
  <si>
    <t>UDAIPUR</t>
  </si>
  <si>
    <t>BHILAI</t>
  </si>
  <si>
    <t>MANGALORE</t>
  </si>
  <si>
    <t>VARANASI</t>
  </si>
  <si>
    <t>AGRA</t>
  </si>
  <si>
    <t>RAIKOT</t>
  </si>
  <si>
    <t>KAKINADA</t>
  </si>
  <si>
    <t>HYDERABAD</t>
  </si>
  <si>
    <t>MUMBAI</t>
  </si>
  <si>
    <t>JAIPUR</t>
  </si>
  <si>
    <t>SURAT</t>
  </si>
  <si>
    <t>BANGALORE</t>
  </si>
  <si>
    <t>BHOPAL</t>
  </si>
  <si>
    <t>VADODARA</t>
  </si>
  <si>
    <t>RAJKOT</t>
  </si>
  <si>
    <t>COIMBATORE</t>
  </si>
  <si>
    <t>MYSORE</t>
  </si>
  <si>
    <t>SOLAPUR</t>
  </si>
  <si>
    <t>SRINAGAR</t>
  </si>
  <si>
    <t>JODHPUR</t>
  </si>
  <si>
    <t>BILASPUR</t>
  </si>
  <si>
    <t>VISAKHA PATTANAM</t>
  </si>
  <si>
    <t>TGHANE</t>
  </si>
  <si>
    <t>NORTH</t>
  </si>
  <si>
    <t>SOUTH</t>
  </si>
  <si>
    <t>WEST</t>
  </si>
  <si>
    <t>EAST</t>
  </si>
  <si>
    <t>SALES</t>
  </si>
  <si>
    <t>15/2/2024</t>
  </si>
  <si>
    <t>16/2/2024</t>
  </si>
  <si>
    <t>22/2/2024</t>
  </si>
  <si>
    <t>28/2/224</t>
  </si>
  <si>
    <t>CS001</t>
  </si>
  <si>
    <t>CS004</t>
  </si>
  <si>
    <t>CS006</t>
  </si>
  <si>
    <t>CS011</t>
  </si>
  <si>
    <t>CS014</t>
  </si>
  <si>
    <t>CS025</t>
  </si>
  <si>
    <t>CS009</t>
  </si>
  <si>
    <t>CS008</t>
  </si>
  <si>
    <t>CS010</t>
  </si>
  <si>
    <t>CS017</t>
  </si>
  <si>
    <t>CS020</t>
  </si>
  <si>
    <t>CS002</t>
  </si>
  <si>
    <t>CS003</t>
  </si>
  <si>
    <t>CS005</t>
  </si>
  <si>
    <t>CS007</t>
  </si>
  <si>
    <t>CS012</t>
  </si>
  <si>
    <t>CS013</t>
  </si>
  <si>
    <t>CS015</t>
  </si>
  <si>
    <t>CS016</t>
  </si>
  <si>
    <t>CS018</t>
  </si>
  <si>
    <t>CS019</t>
  </si>
  <si>
    <t>SC003</t>
  </si>
  <si>
    <t>CS021</t>
  </si>
  <si>
    <t>CS022</t>
  </si>
  <si>
    <t>CS023</t>
  </si>
  <si>
    <t>CS024</t>
  </si>
  <si>
    <t>CS026</t>
  </si>
  <si>
    <t>CS027</t>
  </si>
  <si>
    <t>CS028</t>
  </si>
  <si>
    <t>CS029</t>
  </si>
  <si>
    <t>CS030</t>
  </si>
  <si>
    <t>CS031</t>
  </si>
  <si>
    <t>CS032</t>
  </si>
  <si>
    <t>CS033</t>
  </si>
  <si>
    <t>CS034</t>
  </si>
  <si>
    <t>CS036</t>
  </si>
  <si>
    <t>CS037</t>
  </si>
  <si>
    <t>CS038</t>
  </si>
  <si>
    <t>CS039</t>
  </si>
  <si>
    <t>CS040</t>
  </si>
  <si>
    <t>CS041</t>
  </si>
  <si>
    <t>CS042</t>
  </si>
  <si>
    <t>CS043</t>
  </si>
  <si>
    <t>CS045</t>
  </si>
  <si>
    <t>CS046</t>
  </si>
  <si>
    <t>CS047</t>
  </si>
  <si>
    <t>CS048</t>
  </si>
  <si>
    <t>CS049</t>
  </si>
  <si>
    <t>CS050</t>
  </si>
  <si>
    <t>CS051</t>
  </si>
  <si>
    <t>CS052</t>
  </si>
  <si>
    <t>CS053</t>
  </si>
  <si>
    <t>CS054</t>
  </si>
  <si>
    <t>CS055</t>
  </si>
  <si>
    <t>CS056</t>
  </si>
  <si>
    <t>CS057</t>
  </si>
  <si>
    <t>CS058</t>
  </si>
  <si>
    <t>CS060</t>
  </si>
  <si>
    <t>CS061</t>
  </si>
  <si>
    <t>CS062</t>
  </si>
  <si>
    <t>CS063</t>
  </si>
  <si>
    <t>CS064</t>
  </si>
  <si>
    <t>13/3/2024</t>
  </si>
  <si>
    <t>14/3/2024</t>
  </si>
  <si>
    <t>18/3/2024</t>
  </si>
  <si>
    <t>19/3/2024</t>
  </si>
  <si>
    <t>20/3/2024</t>
  </si>
  <si>
    <t>15/4/2024</t>
  </si>
  <si>
    <t>20/4/2024</t>
  </si>
  <si>
    <t>25/4/2024</t>
  </si>
  <si>
    <t>26/4/2024</t>
  </si>
  <si>
    <t>27/4/2024</t>
  </si>
  <si>
    <t>28/4/2024</t>
  </si>
  <si>
    <t>13/5/2024</t>
  </si>
  <si>
    <t>14/5/2024</t>
  </si>
  <si>
    <t>15/5/2024</t>
  </si>
  <si>
    <t>16/5/2024</t>
  </si>
  <si>
    <t>17/5/2004</t>
  </si>
  <si>
    <t>18/5/2024</t>
  </si>
  <si>
    <t>19/5/2024</t>
  </si>
  <si>
    <t>20/5/2024</t>
  </si>
  <si>
    <t>27/5/2024</t>
  </si>
  <si>
    <t>28/5/2024</t>
  </si>
  <si>
    <t>29/5/2024</t>
  </si>
  <si>
    <t>30/5/2024</t>
  </si>
  <si>
    <t>31/5/2024</t>
  </si>
  <si>
    <t>8/6/20224</t>
  </si>
  <si>
    <t>13/6/2024</t>
  </si>
  <si>
    <t>14/6/2024</t>
  </si>
  <si>
    <t>15/6/2024</t>
  </si>
  <si>
    <t>17/6/2024</t>
  </si>
  <si>
    <t>18/6/2024</t>
  </si>
  <si>
    <t>19/6/2024</t>
  </si>
  <si>
    <t>20/6/2024</t>
  </si>
  <si>
    <t>21/6/2024</t>
  </si>
  <si>
    <t>22/6/2024</t>
  </si>
  <si>
    <t>23/6/2024</t>
  </si>
  <si>
    <t>27/6/2024</t>
  </si>
  <si>
    <t>28/6/2024</t>
  </si>
  <si>
    <t>29/6/2024</t>
  </si>
  <si>
    <t>30/6/2024</t>
  </si>
  <si>
    <t>4/72024</t>
  </si>
  <si>
    <t>15/7/2024</t>
  </si>
  <si>
    <t>16/7/2024</t>
  </si>
  <si>
    <t>17/7/2024</t>
  </si>
  <si>
    <t>18/7/2024</t>
  </si>
  <si>
    <t>19/7/2024</t>
  </si>
  <si>
    <t>20/7/2024</t>
  </si>
  <si>
    <t>21/7/2024</t>
  </si>
  <si>
    <t>22/7/2024</t>
  </si>
  <si>
    <t>23/7/2024</t>
  </si>
  <si>
    <t>MONTH</t>
  </si>
  <si>
    <t>JAN</t>
  </si>
  <si>
    <t>FEB</t>
  </si>
  <si>
    <t xml:space="preserve">MAR </t>
  </si>
  <si>
    <t>APRIL</t>
  </si>
  <si>
    <t>MAY</t>
  </si>
  <si>
    <t>JUNE</t>
  </si>
  <si>
    <t>JULY</t>
  </si>
  <si>
    <t>Sum of SALES</t>
  </si>
  <si>
    <t>Grand Total</t>
  </si>
  <si>
    <t>Row Labels</t>
  </si>
  <si>
    <t xml:space="preserve">                                                                      </t>
  </si>
  <si>
    <t>BEST CUSTOMER</t>
  </si>
  <si>
    <t>TOP SELLING PRODUCT</t>
  </si>
  <si>
    <t>TOTAL SALES</t>
  </si>
  <si>
    <t>Column Labels</t>
  </si>
  <si>
    <t>FROZZEN PIZZA</t>
  </si>
  <si>
    <t>FROZEN BURRITOS</t>
  </si>
  <si>
    <t>FROZEN WAFFLES</t>
  </si>
  <si>
    <t>GROUBD BEEF</t>
  </si>
  <si>
    <t>LAUNDRY DETERGENTS</t>
  </si>
  <si>
    <t>LEYYUCE</t>
  </si>
  <si>
    <t>MAYINNAISE</t>
  </si>
  <si>
    <t>OATMEAL</t>
  </si>
  <si>
    <t>PRODUCTS</t>
  </si>
  <si>
    <t>PURCHASE</t>
  </si>
  <si>
    <t>PRODUCT</t>
  </si>
  <si>
    <t xml:space="preserve"> CURRENTSTOCK</t>
  </si>
  <si>
    <t>SL.NO</t>
  </si>
  <si>
    <t>REMARKS</t>
  </si>
  <si>
    <t>2yu</t>
  </si>
  <si>
    <t>fhuguih</t>
  </si>
  <si>
    <t>hghjui</t>
  </si>
  <si>
    <t>tyyi</t>
  </si>
  <si>
    <t>ghgh2</t>
  </si>
  <si>
    <t>hjgty</t>
  </si>
  <si>
    <t>ygju</t>
  </si>
  <si>
    <t>ghfuhb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</si>
</sst>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4"/>
      <color rgb="FF008000"/>
      <name val="Cambria"/>
      <family val="1"/>
    </font>
    <font>
      <sz val="8"/>
      <name val="Calibri"/>
      <family val="2"/>
      <scheme val="minor"/>
    </font>
    <font>
      <b/>
      <sz val="11"/>
      <color indexed="18"/>
      <name val="Calibri"/>
      <family val="2"/>
      <scheme val="minor"/>
    </font>
    <font>
      <sz val="11"/>
      <color rgb="FFFF0000"/>
      <name val="Calibri"/>
      <family val="2"/>
      <scheme val="minor"/>
    </font>
    <font>
      <sz val="11"/>
      <color theme="0"/>
      <name val="Calibri"/>
      <family val="2"/>
      <scheme val="minor"/>
    </font>
    <font>
      <sz val="11"/>
      <color theme="4" tint="-0.249977111117893"/>
      <name val="Calibri"/>
      <family val="2"/>
      <scheme val="minor"/>
    </font>
    <font>
      <b/>
      <sz val="16"/>
      <color rgb="FF800080"/>
      <name val="Cambria"/>
      <family val="1"/>
    </font>
    <font>
      <sz val="11"/>
      <color indexed="8"/>
      <name val="Calibri"/>
      <family val="2"/>
      <scheme val="minor"/>
    </font>
  </fonts>
  <fills count="13">
    <fill>
      <patternFill patternType="none"/>
    </fill>
    <fill>
      <patternFill patternType="gray125"/>
    </fill>
    <fill>
      <patternFill patternType="solid">
        <fgColor theme="8" tint="0.39997558519241921"/>
        <bgColor indexed="64"/>
      </patternFill>
    </fill>
    <fill>
      <patternFill patternType="solid">
        <fgColor theme="6" tint="0.39997558519241921"/>
        <bgColor indexed="64"/>
      </patternFill>
    </fill>
    <fill>
      <patternFill patternType="solid">
        <fgColor rgb="FFE395B8"/>
        <bgColor indexed="64"/>
      </patternFill>
    </fill>
    <fill>
      <patternFill patternType="solid">
        <fgColor theme="9" tint="0.39997558519241921"/>
        <bgColor indexed="64"/>
      </patternFill>
    </fill>
    <fill>
      <patternFill patternType="solid">
        <fgColor rgb="FFCF5239"/>
        <bgColor indexed="64"/>
      </patternFill>
    </fill>
    <fill>
      <patternFill patternType="solid">
        <fgColor theme="4" tint="0.79998168889431442"/>
        <bgColor theme="4" tint="0.79998168889431442"/>
      </patternFill>
    </fill>
    <fill>
      <patternFill patternType="solid">
        <fgColor rgb="FFA4A365"/>
        <bgColor indexed="64"/>
      </patternFill>
    </fill>
    <fill>
      <patternFill patternType="solid">
        <fgColor theme="5" tint="0.59999389629810485"/>
        <bgColor indexed="64"/>
      </patternFill>
    </fill>
    <fill>
      <patternFill patternType="solid">
        <fgColor rgb="FF97717F"/>
        <bgColor indexed="64"/>
      </patternFill>
    </fill>
    <fill>
      <patternFill patternType="solid">
        <fgColor indexed="9"/>
        <bgColor indexed="24"/>
      </patternFill>
    </fill>
    <fill>
      <patternFill patternType="solid">
        <fgColor theme="8" tint="0.5999938962981048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1">
    <xf numFmtId="0" fontId="0" fillId="0" borderId="0"/>
  </cellStyleXfs>
  <cellXfs count="51">
    <xf numFmtId="0" fontId="0" fillId="0" borderId="0" xfId="0"/>
    <xf numFmtId="0" fontId="0" fillId="0" borderId="1" xfId="0" applyBorder="1"/>
    <xf numFmtId="0" fontId="0" fillId="0" borderId="0" xfId="0" pivotButton="1"/>
    <xf numFmtId="0" fontId="0" fillId="0" borderId="0" xfId="0" applyAlignment="1">
      <alignment horizontal="left"/>
    </xf>
    <xf numFmtId="0" fontId="0" fillId="2" borderId="0" xfId="0" applyFill="1"/>
    <xf numFmtId="0" fontId="3" fillId="0" borderId="1" xfId="0" applyFont="1" applyBorder="1" applyAlignment="1">
      <alignment horizontal="left" vertical="center"/>
    </xf>
    <xf numFmtId="0" fontId="3" fillId="0" borderId="1" xfId="0" applyFont="1" applyBorder="1" applyAlignment="1">
      <alignment horizontal="center" vertical="center"/>
    </xf>
    <xf numFmtId="0" fontId="3" fillId="0" borderId="1" xfId="0" applyFont="1" applyBorder="1" applyAlignment="1">
      <alignment horizontal="center"/>
    </xf>
    <xf numFmtId="14" fontId="0" fillId="0" borderId="1" xfId="0" applyNumberFormat="1" applyBorder="1"/>
    <xf numFmtId="0" fontId="0" fillId="3" borderId="0" xfId="0" applyFill="1"/>
    <xf numFmtId="0" fontId="0" fillId="0" borderId="2" xfId="0" applyBorder="1"/>
    <xf numFmtId="0" fontId="0" fillId="4" borderId="0" xfId="0" applyFill="1"/>
    <xf numFmtId="0" fontId="0" fillId="5" borderId="0" xfId="0" applyFill="1"/>
    <xf numFmtId="0" fontId="0" fillId="5" borderId="0" xfId="0" applyFill="1" applyAlignment="1">
      <alignment vertical="center"/>
    </xf>
    <xf numFmtId="0" fontId="0" fillId="2" borderId="0" xfId="0" applyFill="1" applyAlignment="1">
      <alignment vertical="center"/>
    </xf>
    <xf numFmtId="14" fontId="0" fillId="0" borderId="0" xfId="0" applyNumberFormat="1"/>
    <xf numFmtId="0" fontId="0" fillId="9" borderId="0" xfId="0" applyFill="1"/>
    <xf numFmtId="0" fontId="5" fillId="10" borderId="1" xfId="0" applyFont="1" applyFill="1" applyBorder="1"/>
    <xf numFmtId="0" fontId="0" fillId="0" borderId="3" xfId="0" applyBorder="1"/>
    <xf numFmtId="0" fontId="5" fillId="10" borderId="2" xfId="0" applyFont="1" applyFill="1" applyBorder="1" applyAlignment="1">
      <alignment horizontal="left"/>
    </xf>
    <xf numFmtId="0" fontId="5" fillId="10" borderId="5" xfId="0" applyFont="1" applyFill="1" applyBorder="1" applyAlignment="1">
      <alignment horizontal="left"/>
    </xf>
    <xf numFmtId="0" fontId="5" fillId="10" borderId="4" xfId="0" applyFont="1" applyFill="1" applyBorder="1" applyAlignment="1">
      <alignment horizontal="left"/>
    </xf>
    <xf numFmtId="0" fontId="0" fillId="0" borderId="1" xfId="0" applyBorder="1" applyAlignment="1">
      <alignment horizontal="left" vertical="center"/>
    </xf>
    <xf numFmtId="14" fontId="6" fillId="7" borderId="1" xfId="0" applyNumberFormat="1" applyFont="1" applyFill="1" applyBorder="1" applyAlignment="1">
      <alignment horizontal="left" vertical="center"/>
    </xf>
    <xf numFmtId="14" fontId="6" fillId="0" borderId="1" xfId="0" applyNumberFormat="1" applyFont="1" applyBorder="1" applyAlignment="1">
      <alignment horizontal="left" vertical="center"/>
    </xf>
    <xf numFmtId="0" fontId="6" fillId="0" borderId="1" xfId="0" applyFont="1" applyBorder="1" applyAlignment="1">
      <alignment horizontal="left" vertical="center"/>
    </xf>
    <xf numFmtId="0" fontId="6" fillId="7" borderId="1" xfId="0" applyFont="1" applyFill="1" applyBorder="1" applyAlignment="1">
      <alignment horizontal="left" vertical="center"/>
    </xf>
    <xf numFmtId="14" fontId="6" fillId="7" borderId="1" xfId="0" applyNumberFormat="1" applyFont="1" applyFill="1" applyBorder="1" applyAlignment="1">
      <alignment horizontal="left"/>
    </xf>
    <xf numFmtId="14" fontId="6" fillId="0" borderId="1" xfId="0" applyNumberFormat="1" applyFont="1" applyBorder="1" applyAlignment="1">
      <alignment horizontal="left"/>
    </xf>
    <xf numFmtId="0" fontId="6" fillId="0" borderId="1" xfId="0" applyFont="1" applyBorder="1" applyAlignment="1">
      <alignment horizontal="left"/>
    </xf>
    <xf numFmtId="0" fontId="6" fillId="7" borderId="1" xfId="0" applyFont="1" applyFill="1" applyBorder="1" applyAlignment="1">
      <alignment horizontal="left"/>
    </xf>
    <xf numFmtId="0" fontId="0" fillId="11" borderId="0" xfId="0" applyFill="1"/>
    <xf numFmtId="0" fontId="8" fillId="11" borderId="0" xfId="0" applyFont="1" applyFill="1"/>
    <xf numFmtId="0" fontId="5" fillId="10" borderId="2" xfId="0" applyFont="1" applyFill="1" applyBorder="1"/>
    <xf numFmtId="0" fontId="5" fillId="10" borderId="4" xfId="0" applyFont="1" applyFill="1" applyBorder="1"/>
    <xf numFmtId="0" fontId="5" fillId="10" borderId="5" xfId="0" applyFont="1" applyFill="1" applyBorder="1"/>
    <xf numFmtId="0" fontId="0" fillId="12" borderId="0" xfId="0" applyFill="1"/>
    <xf numFmtId="0" fontId="0" fillId="8" borderId="1" xfId="0" applyFill="1" applyBorder="1" applyAlignment="1">
      <alignment horizontal="center"/>
    </xf>
    <xf numFmtId="14" fontId="0" fillId="11" borderId="0" xfId="0" applyNumberFormat="1" applyFill="1"/>
    <xf numFmtId="0" fontId="0" fillId="0" borderId="6" xfId="0" applyBorder="1"/>
    <xf numFmtId="14" fontId="0" fillId="11" borderId="8" xfId="0" applyNumberFormat="1" applyFont="1" applyFill="1" applyBorder="1"/>
    <xf numFmtId="0" fontId="0" fillId="11" borderId="2" xfId="0" applyFont="1" applyFill="1" applyBorder="1"/>
    <xf numFmtId="0" fontId="8" fillId="11" borderId="2" xfId="0" applyFont="1" applyFill="1" applyBorder="1"/>
    <xf numFmtId="0" fontId="0" fillId="0" borderId="2" xfId="0" applyNumberFormat="1" applyBorder="1"/>
    <xf numFmtId="0" fontId="8" fillId="11" borderId="7" xfId="0" applyFont="1" applyFill="1" applyBorder="1"/>
    <xf numFmtId="0" fontId="0" fillId="0" borderId="0" xfId="0" applyNumberFormat="1"/>
    <xf numFmtId="0" fontId="0" fillId="4" borderId="0" xfId="0" applyNumberFormat="1" applyFill="1"/>
    <xf numFmtId="0" fontId="5" fillId="6" borderId="0" xfId="0" applyFont="1" applyFill="1" applyAlignment="1">
      <alignment horizontal="center"/>
    </xf>
    <xf numFmtId="0" fontId="0" fillId="5" borderId="0" xfId="0" applyFill="1" applyAlignment="1">
      <alignment horizontal="center" vertical="center"/>
    </xf>
    <xf numFmtId="0" fontId="0" fillId="6" borderId="0" xfId="0" applyFill="1" applyAlignment="1">
      <alignment horizontal="center"/>
    </xf>
    <xf numFmtId="0" fontId="4" fillId="5" borderId="0" xfId="0" applyFont="1" applyFill="1" applyAlignment="1">
      <alignment horizontal="center" vertical="center"/>
    </xf>
  </cellXfs>
  <cellStyles count="1">
    <cellStyle name="Normal" xfId="0" builtinId="0"/>
  </cellStyles>
  <dxfs count="90">
    <dxf>
      <font>
        <color rgb="FF9C0006"/>
      </font>
    </dxf>
    <dxf>
      <font>
        <color rgb="FF9C0006"/>
      </font>
      <fill>
        <patternFill>
          <bgColor rgb="FFFFC7CE"/>
        </patternFill>
      </fill>
    </dxf>
    <dxf>
      <font>
        <color rgb="FF9C0006"/>
      </font>
      <fill>
        <patternFill>
          <bgColor rgb="FFFFC7CE"/>
        </patternFill>
      </fill>
    </dxf>
    <dxf>
      <font>
        <color rgb="FF9C5700"/>
      </font>
      <fill>
        <patternFill>
          <bgColor rgb="FFFFEB9C"/>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97717F"/>
        </patternFill>
      </fill>
    </dxf>
    <dxf>
      <fill>
        <patternFill>
          <bgColor rgb="FF97717F"/>
        </patternFill>
      </fill>
    </dxf>
    <dxf>
      <fill>
        <patternFill>
          <bgColor rgb="FF97717F"/>
        </patternFill>
      </fill>
    </dxf>
    <dxf>
      <fill>
        <patternFill>
          <bgColor rgb="FF97717F"/>
        </patternFill>
      </fill>
    </dxf>
    <dxf>
      <fill>
        <patternFill>
          <bgColor rgb="FF97717F"/>
        </patternFill>
      </fill>
    </dxf>
    <dxf>
      <fill>
        <patternFill>
          <bgColor rgb="FF97717F"/>
        </patternFill>
      </fill>
    </dxf>
    <dxf>
      <font>
        <color theme="0"/>
      </font>
    </dxf>
    <dxf>
      <font>
        <color theme="0"/>
      </font>
    </dxf>
    <dxf>
      <font>
        <color theme="0"/>
      </font>
    </dxf>
    <dxf>
      <font>
        <color theme="0"/>
      </font>
    </dxf>
    <dxf>
      <font>
        <color theme="0"/>
      </font>
    </dxf>
    <dxf>
      <font>
        <color theme="0"/>
      </font>
    </dxf>
    <dxf>
      <fill>
        <patternFill patternType="solid">
          <bgColor rgb="FF996F96"/>
        </patternFill>
      </fill>
    </dxf>
    <dxf>
      <fill>
        <patternFill patternType="solid">
          <bgColor rgb="FF996F96"/>
        </patternFill>
      </fill>
    </dxf>
    <dxf>
      <fill>
        <patternFill patternType="solid">
          <bgColor rgb="FF996F96"/>
        </patternFill>
      </fill>
    </dxf>
    <dxf>
      <fill>
        <patternFill patternType="solid">
          <bgColor rgb="FF996F96"/>
        </patternFill>
      </fill>
    </dxf>
    <dxf>
      <fill>
        <patternFill patternType="solid">
          <bgColor rgb="FF996F96"/>
        </patternFill>
      </fill>
    </dxf>
    <dxf>
      <fill>
        <patternFill patternType="solid">
          <bgColor rgb="FF996F96"/>
        </patternFill>
      </fill>
    </dxf>
    <dxf>
      <fill>
        <patternFill>
          <bgColor rgb="FFA4A365"/>
        </patternFill>
      </fill>
    </dxf>
    <dxf>
      <fill>
        <patternFill>
          <bgColor rgb="FFA4A365"/>
        </patternFill>
      </fill>
    </dxf>
    <dxf>
      <fill>
        <patternFill>
          <bgColor rgb="FFA4A365"/>
        </patternFill>
      </fill>
    </dxf>
    <dxf>
      <fill>
        <patternFill>
          <bgColor rgb="FFA4A365"/>
        </patternFill>
      </fill>
    </dxf>
    <dxf>
      <fill>
        <patternFill>
          <bgColor rgb="FFA4A365"/>
        </patternFill>
      </fill>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1"/>
      </font>
    </dxf>
    <dxf>
      <font>
        <color theme="1"/>
      </font>
    </dxf>
    <dxf>
      <font>
        <color theme="1"/>
      </font>
    </dxf>
    <dxf>
      <font>
        <color theme="1"/>
      </font>
    </dxf>
    <dxf>
      <font>
        <color theme="1"/>
      </font>
    </dxf>
    <dxf>
      <font>
        <color theme="1"/>
      </font>
    </dxf>
    <dxf>
      <fill>
        <patternFill>
          <bgColor rgb="FFA4A365"/>
        </patternFill>
      </fill>
    </dxf>
    <dxf>
      <fill>
        <patternFill>
          <bgColor rgb="FFA4A365"/>
        </patternFill>
      </fill>
    </dxf>
    <dxf>
      <fill>
        <patternFill>
          <bgColor rgb="FFA4A365"/>
        </patternFill>
      </fill>
    </dxf>
    <dxf>
      <fill>
        <patternFill>
          <bgColor rgb="FFA4A365"/>
        </patternFill>
      </fill>
    </dxf>
    <dxf>
      <fill>
        <patternFill>
          <bgColor rgb="FFA4A365"/>
        </patternFill>
      </fill>
    </dxf>
    <dxf>
      <fill>
        <patternFill>
          <bgColor rgb="FFA4A365"/>
        </patternFill>
      </fill>
    </dxf>
    <dxf>
      <font>
        <color theme="0"/>
      </font>
    </dxf>
    <dxf>
      <font>
        <color theme="0"/>
      </font>
    </dxf>
    <dxf>
      <font>
        <color theme="0"/>
      </font>
    </dxf>
    <dxf>
      <font>
        <color theme="0"/>
      </font>
    </dxf>
    <dxf>
      <font>
        <color theme="0"/>
      </font>
    </dxf>
    <dxf>
      <font>
        <color theme="0"/>
      </font>
    </dxf>
    <dxf>
      <fill>
        <patternFill patternType="solid">
          <bgColor rgb="FFCF5239"/>
        </patternFill>
      </fill>
    </dxf>
    <dxf>
      <fill>
        <patternFill patternType="solid">
          <bgColor rgb="FFCF5239"/>
        </patternFill>
      </fill>
    </dxf>
    <dxf>
      <fill>
        <patternFill patternType="solid">
          <bgColor rgb="FFCF5239"/>
        </patternFill>
      </fill>
    </dxf>
    <dxf>
      <fill>
        <patternFill patternType="solid">
          <bgColor rgb="FFCF5239"/>
        </patternFill>
      </fill>
    </dxf>
    <dxf>
      <fill>
        <patternFill patternType="solid">
          <bgColor rgb="FFCF5239"/>
        </patternFill>
      </fill>
    </dxf>
    <dxf>
      <fill>
        <patternFill patternType="solid">
          <bgColor rgb="FFCF5239"/>
        </patternFill>
      </fill>
    </dxf>
    <dxf>
      <fill>
        <patternFill patternType="solid">
          <bgColor rgb="FFE395B8"/>
        </patternFill>
      </fill>
    </dxf>
    <dxf>
      <fill>
        <patternFill patternType="solid">
          <bgColor rgb="FFE395B8"/>
        </patternFill>
      </fill>
    </dxf>
    <dxf>
      <fill>
        <patternFill patternType="solid">
          <bgColor rgb="FFE395B8"/>
        </patternFill>
      </fill>
    </dxf>
    <dxf>
      <font>
        <b val="0"/>
        <i val="0"/>
        <strike val="0"/>
        <condense val="0"/>
        <extend val="0"/>
        <outline val="0"/>
        <shadow val="0"/>
        <u val="none"/>
        <vertAlign val="baseline"/>
        <sz val="11"/>
        <color indexed="8"/>
        <name val="Calibri"/>
        <family val="2"/>
        <scheme val="minor"/>
      </font>
      <fill>
        <patternFill patternType="solid">
          <fgColor indexed="24"/>
          <bgColor indexed="9"/>
        </patternFill>
      </fill>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24"/>
          <bgColor indexed="9"/>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indexed="8"/>
        <name val="Calibri"/>
        <family val="2"/>
        <scheme val="minor"/>
      </font>
      <fill>
        <patternFill patternType="solid">
          <fgColor indexed="24"/>
          <bgColor indexed="9"/>
        </patternFill>
      </fill>
    </dxf>
    <dxf>
      <border>
        <bottom style="thin">
          <color indexed="64"/>
        </bottom>
      </border>
    </dxf>
    <dxf>
      <font>
        <b/>
        <i val="0"/>
        <strike val="0"/>
        <condense val="0"/>
        <extend val="0"/>
        <outline val="0"/>
        <shadow val="0"/>
        <u val="none"/>
        <vertAlign val="baseline"/>
        <sz val="11"/>
        <color indexed="9"/>
        <name val="Calibri"/>
        <family val="2"/>
        <scheme val="minor"/>
      </font>
      <fill>
        <patternFill patternType="darkGray">
          <fgColor indexed="21"/>
          <bgColor indexed="17"/>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name val="Cambria"/>
        <family val="1"/>
        <scheme val="none"/>
      </font>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1" xr9:uid="{D70FDC65-09ED-45A4-8C52-6505C8CCF6D1}">
      <tableStyleElement type="wholeTable" dxfId="89"/>
    </tableStyle>
  </tableStyles>
  <colors>
    <mruColors>
      <color rgb="FFA4A365"/>
      <color rgb="FF3E223F"/>
      <color rgb="FFCA620C"/>
      <color rgb="FFA2668A"/>
      <color rgb="FF97717F"/>
      <color rgb="FF996F96"/>
      <color rgb="FFCF5239"/>
      <color rgb="FFC2CC9E"/>
      <color rgb="FFE395B8"/>
      <color rgb="FFF41914"/>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7.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2.xlsm]Sheet11!PivotTable4</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068306624925786"/>
          <c:y val="0.22161818314377368"/>
          <c:w val="0.44820433580993274"/>
          <c:h val="0.6293157626130067"/>
        </c:manualLayout>
      </c:layout>
      <c:barChart>
        <c:barDir val="bar"/>
        <c:grouping val="clustered"/>
        <c:varyColors val="0"/>
        <c:ser>
          <c:idx val="0"/>
          <c:order val="0"/>
          <c:tx>
            <c:strRef>
              <c:f>Sheet11!$B$3</c:f>
              <c:strCache>
                <c:ptCount val="1"/>
                <c:pt idx="0">
                  <c:v>Total</c:v>
                </c:pt>
              </c:strCache>
            </c:strRef>
          </c:tx>
          <c:spPr>
            <a:solidFill>
              <a:schemeClr val="accent1"/>
            </a:solidFill>
            <a:ln>
              <a:noFill/>
            </a:ln>
            <a:effectLst/>
          </c:spPr>
          <c:invertIfNegative val="0"/>
          <c:cat>
            <c:strRef>
              <c:f>Sheet11!$A$4:$A$6</c:f>
              <c:strCache>
                <c:ptCount val="2"/>
                <c:pt idx="0">
                  <c:v>FEMALE</c:v>
                </c:pt>
                <c:pt idx="1">
                  <c:v>MALE</c:v>
                </c:pt>
              </c:strCache>
            </c:strRef>
          </c:cat>
          <c:val>
            <c:numRef>
              <c:f>Sheet11!$B$4:$B$6</c:f>
              <c:numCache>
                <c:formatCode>General</c:formatCode>
                <c:ptCount val="2"/>
                <c:pt idx="0">
                  <c:v>37956.800000000003</c:v>
                </c:pt>
                <c:pt idx="1">
                  <c:v>17456.399999999998</c:v>
                </c:pt>
              </c:numCache>
            </c:numRef>
          </c:val>
          <c:extLst>
            <c:ext xmlns:c16="http://schemas.microsoft.com/office/drawing/2014/chart" uri="{C3380CC4-5D6E-409C-BE32-E72D297353CC}">
              <c16:uniqueId val="{00000000-580A-46A3-898F-41553C5E7659}"/>
            </c:ext>
          </c:extLst>
        </c:ser>
        <c:dLbls>
          <c:showLegendKey val="0"/>
          <c:showVal val="0"/>
          <c:showCatName val="0"/>
          <c:showSerName val="0"/>
          <c:showPercent val="0"/>
          <c:showBubbleSize val="0"/>
        </c:dLbls>
        <c:gapWidth val="182"/>
        <c:axId val="941009919"/>
        <c:axId val="941011999"/>
      </c:barChart>
      <c:catAx>
        <c:axId val="941009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11999"/>
        <c:crosses val="autoZero"/>
        <c:auto val="1"/>
        <c:lblAlgn val="ctr"/>
        <c:lblOffset val="100"/>
        <c:noMultiLvlLbl val="0"/>
      </c:catAx>
      <c:valAx>
        <c:axId val="9410119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09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Sheet11!$E$3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9F-4970-B0C1-2578CAA535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9F-4970-B0C1-2578CAA535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9F-4970-B0C1-2578CAA535E0}"/>
              </c:ext>
            </c:extLst>
          </c:dPt>
          <c:cat>
            <c:strRef>
              <c:f>Sheet11!$D$4:$D$7</c:f>
              <c:strCache>
                <c:ptCount val="3"/>
                <c:pt idx="0">
                  <c:v>CONSUMER</c:v>
                </c:pt>
                <c:pt idx="1">
                  <c:v>CORPORATE</c:v>
                </c:pt>
                <c:pt idx="2">
                  <c:v>HOME OFFICE</c:v>
                </c:pt>
              </c:strCache>
            </c:strRef>
          </c:cat>
          <c:val>
            <c:numRef>
              <c:f>Sheet11!$E$4:$E$7</c:f>
              <c:numCache>
                <c:formatCode>General</c:formatCode>
                <c:ptCount val="3"/>
                <c:pt idx="0">
                  <c:v>37197.899999999994</c:v>
                </c:pt>
                <c:pt idx="1">
                  <c:v>9746.1999999999989</c:v>
                </c:pt>
                <c:pt idx="2">
                  <c:v>8469.1</c:v>
                </c:pt>
              </c:numCache>
            </c:numRef>
          </c:val>
          <c:extLst>
            <c:ext xmlns:c16="http://schemas.microsoft.com/office/drawing/2014/chart" uri="{C3380CC4-5D6E-409C-BE32-E72D297353CC}">
              <c16:uniqueId val="{00000006-C19F-4970-B0C1-2578CAA535E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Sheet11!$H$3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1D-4165-94CE-0F81C6033D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1D-4165-94CE-0F81C6033D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1D-4165-94CE-0F81C6033D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E1D-4165-94CE-0F81C6033D6F}"/>
              </c:ext>
            </c:extLst>
          </c:dPt>
          <c:cat>
            <c:strRef>
              <c:f>Sheet11!$G$4:$G$8</c:f>
              <c:strCache>
                <c:ptCount val="4"/>
                <c:pt idx="0">
                  <c:v>EAST</c:v>
                </c:pt>
                <c:pt idx="1">
                  <c:v>NORTH</c:v>
                </c:pt>
                <c:pt idx="2">
                  <c:v>SOUTH</c:v>
                </c:pt>
                <c:pt idx="3">
                  <c:v>WEST</c:v>
                </c:pt>
              </c:strCache>
            </c:strRef>
          </c:cat>
          <c:val>
            <c:numRef>
              <c:f>Sheet11!$H$4:$H$8</c:f>
              <c:numCache>
                <c:formatCode>General</c:formatCode>
                <c:ptCount val="4"/>
                <c:pt idx="0">
                  <c:v>9921.0999999999985</c:v>
                </c:pt>
                <c:pt idx="1">
                  <c:v>16253</c:v>
                </c:pt>
                <c:pt idx="2">
                  <c:v>13115.5</c:v>
                </c:pt>
                <c:pt idx="3">
                  <c:v>16123.600000000002</c:v>
                </c:pt>
              </c:numCache>
            </c:numRef>
          </c:val>
          <c:extLst>
            <c:ext xmlns:c16="http://schemas.microsoft.com/office/drawing/2014/chart" uri="{C3380CC4-5D6E-409C-BE32-E72D297353CC}">
              <c16:uniqueId val="{00000008-4E1D-4165-94CE-0F81C6033D6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none"/>
          </c:marker>
          <c:cat>
            <c:numLit>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Lit>
          </c:cat>
          <c:val>
            <c:numLit>
              <c:formatCode>General</c:formatCode>
              <c:ptCount val="15"/>
              <c:pt idx="0">
                <c:v>240</c:v>
              </c:pt>
              <c:pt idx="1">
                <c:v>350</c:v>
              </c:pt>
              <c:pt idx="2">
                <c:v>1236</c:v>
              </c:pt>
              <c:pt idx="3">
                <c:v>320</c:v>
              </c:pt>
              <c:pt idx="4">
                <c:v>59.4</c:v>
              </c:pt>
              <c:pt idx="5">
                <c:v>438.90000000000003</c:v>
              </c:pt>
              <c:pt idx="6">
                <c:v>37.5</c:v>
              </c:pt>
              <c:pt idx="7">
                <c:v>1802</c:v>
              </c:pt>
              <c:pt idx="8">
                <c:v>1800</c:v>
              </c:pt>
              <c:pt idx="9">
                <c:v>1416</c:v>
              </c:pt>
              <c:pt idx="10">
                <c:v>80</c:v>
              </c:pt>
              <c:pt idx="11">
                <c:v>971.2</c:v>
              </c:pt>
              <c:pt idx="12">
                <c:v>253.2</c:v>
              </c:pt>
              <c:pt idx="13">
                <c:v>400</c:v>
              </c:pt>
              <c:pt idx="14">
                <c:v>364.5</c:v>
              </c:pt>
            </c:numLit>
          </c:val>
          <c:smooth val="0"/>
          <c:extLst>
            <c:ext xmlns:c16="http://schemas.microsoft.com/office/drawing/2014/chart" uri="{C3380CC4-5D6E-409C-BE32-E72D297353CC}">
              <c16:uniqueId val="{00000000-7AFA-40EF-90A5-7DD0F21D5169}"/>
            </c:ext>
          </c:extLst>
        </c:ser>
        <c:dLbls>
          <c:showLegendKey val="0"/>
          <c:showVal val="0"/>
          <c:showCatName val="0"/>
          <c:showSerName val="0"/>
          <c:showPercent val="0"/>
          <c:showBubbleSize val="0"/>
        </c:dLbls>
        <c:smooth val="0"/>
        <c:axId val="1144902431"/>
        <c:axId val="1144896607"/>
      </c:lineChart>
      <c:catAx>
        <c:axId val="1144902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896607"/>
        <c:crosses val="autoZero"/>
        <c:auto val="1"/>
        <c:lblAlgn val="ctr"/>
        <c:lblOffset val="100"/>
        <c:noMultiLvlLbl val="0"/>
      </c:catAx>
      <c:valAx>
        <c:axId val="1144896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902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2.xlsm]Sheet11!PivotTable9</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Sheet11!$H$11</c:f>
              <c:strCache>
                <c:ptCount val="1"/>
                <c:pt idx="0">
                  <c:v>Total</c:v>
                </c:pt>
              </c:strCache>
            </c:strRef>
          </c:tx>
          <c:spPr>
            <a:solidFill>
              <a:schemeClr val="accent1"/>
            </a:solidFill>
            <a:ln>
              <a:noFill/>
            </a:ln>
            <a:effectLst/>
            <a:sp3d/>
          </c:spPr>
          <c:invertIfNegative val="0"/>
          <c:cat>
            <c:strRef>
              <c:f>Sheet11!$G$12:$G$19</c:f>
              <c:strCache>
                <c:ptCount val="7"/>
                <c:pt idx="0">
                  <c:v>JAN</c:v>
                </c:pt>
                <c:pt idx="1">
                  <c:v>FEB</c:v>
                </c:pt>
                <c:pt idx="2">
                  <c:v>APRIL</c:v>
                </c:pt>
                <c:pt idx="3">
                  <c:v>MAY</c:v>
                </c:pt>
                <c:pt idx="4">
                  <c:v>JUNE</c:v>
                </c:pt>
                <c:pt idx="5">
                  <c:v>JULY</c:v>
                </c:pt>
                <c:pt idx="6">
                  <c:v>MAR </c:v>
                </c:pt>
              </c:strCache>
            </c:strRef>
          </c:cat>
          <c:val>
            <c:numRef>
              <c:f>Sheet11!$H$12:$H$19</c:f>
              <c:numCache>
                <c:formatCode>General</c:formatCode>
                <c:ptCount val="7"/>
                <c:pt idx="0">
                  <c:v>2070</c:v>
                </c:pt>
                <c:pt idx="1">
                  <c:v>1302.5</c:v>
                </c:pt>
                <c:pt idx="2">
                  <c:v>9768.7000000000007</c:v>
                </c:pt>
                <c:pt idx="3">
                  <c:v>11464.3</c:v>
                </c:pt>
                <c:pt idx="4">
                  <c:v>24146</c:v>
                </c:pt>
                <c:pt idx="5">
                  <c:v>3917.7</c:v>
                </c:pt>
                <c:pt idx="6">
                  <c:v>2744</c:v>
                </c:pt>
              </c:numCache>
            </c:numRef>
          </c:val>
          <c:extLst>
            <c:ext xmlns:c16="http://schemas.microsoft.com/office/drawing/2014/chart" uri="{C3380CC4-5D6E-409C-BE32-E72D297353CC}">
              <c16:uniqueId val="{00000000-AC19-4935-A6E4-E98E2B8C62EF}"/>
            </c:ext>
          </c:extLst>
        </c:ser>
        <c:dLbls>
          <c:showLegendKey val="0"/>
          <c:showVal val="0"/>
          <c:showCatName val="0"/>
          <c:showSerName val="0"/>
          <c:showPercent val="0"/>
          <c:showBubbleSize val="0"/>
        </c:dLbls>
        <c:gapWidth val="150"/>
        <c:shape val="box"/>
        <c:axId val="1144892031"/>
        <c:axId val="1144894943"/>
        <c:axId val="0"/>
      </c:bar3DChart>
      <c:catAx>
        <c:axId val="1144892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894943"/>
        <c:crosses val="autoZero"/>
        <c:auto val="1"/>
        <c:lblAlgn val="ctr"/>
        <c:lblOffset val="100"/>
        <c:noMultiLvlLbl val="0"/>
      </c:catAx>
      <c:valAx>
        <c:axId val="1144894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8920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2.xlsm]Sheet11!PivotTable1</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Sheet11!$K$11</c:f>
              <c:strCache>
                <c:ptCount val="1"/>
                <c:pt idx="0">
                  <c:v>Total</c:v>
                </c:pt>
              </c:strCache>
            </c:strRef>
          </c:tx>
          <c:spPr>
            <a:solidFill>
              <a:schemeClr val="accent1"/>
            </a:solidFill>
            <a:ln>
              <a:noFill/>
            </a:ln>
            <a:effectLst/>
          </c:spPr>
          <c:cat>
            <c:strRef>
              <c:f>Sheet11!$J$12:$J$55</c:f>
              <c:strCache>
                <c:ptCount val="43"/>
                <c:pt idx="0">
                  <c:v>AGRA</c:v>
                </c:pt>
                <c:pt idx="1">
                  <c:v>AHMEDABAD</c:v>
                </c:pt>
                <c:pt idx="2">
                  <c:v>ALIGARH</c:v>
                </c:pt>
                <c:pt idx="3">
                  <c:v>BANGALORE</c:v>
                </c:pt>
                <c:pt idx="4">
                  <c:v>BHILAI</c:v>
                </c:pt>
                <c:pt idx="5">
                  <c:v>BHOPAL</c:v>
                </c:pt>
                <c:pt idx="6">
                  <c:v>BILASPUR</c:v>
                </c:pt>
                <c:pt idx="7">
                  <c:v>CHANDIGARH</c:v>
                </c:pt>
                <c:pt idx="8">
                  <c:v>CHENNAI</c:v>
                </c:pt>
                <c:pt idx="9">
                  <c:v>COIMBATORE</c:v>
                </c:pt>
                <c:pt idx="10">
                  <c:v>DELHI</c:v>
                </c:pt>
                <c:pt idx="11">
                  <c:v>GUWAHATI</c:v>
                </c:pt>
                <c:pt idx="12">
                  <c:v>HYDERABAD</c:v>
                </c:pt>
                <c:pt idx="13">
                  <c:v>INDORE</c:v>
                </c:pt>
                <c:pt idx="14">
                  <c:v>JAIPUR</c:v>
                </c:pt>
                <c:pt idx="15">
                  <c:v>JODHPUR</c:v>
                </c:pt>
                <c:pt idx="16">
                  <c:v>KAKINADA</c:v>
                </c:pt>
                <c:pt idx="17">
                  <c:v>KANPUR</c:v>
                </c:pt>
                <c:pt idx="18">
                  <c:v>KOLKATA</c:v>
                </c:pt>
                <c:pt idx="19">
                  <c:v>LUCKNOW</c:v>
                </c:pt>
                <c:pt idx="20">
                  <c:v>MADURAI</c:v>
                </c:pt>
                <c:pt idx="21">
                  <c:v>MANGALORE</c:v>
                </c:pt>
                <c:pt idx="22">
                  <c:v>MEERUT</c:v>
                </c:pt>
                <c:pt idx="23">
                  <c:v>MUMBAI</c:v>
                </c:pt>
                <c:pt idx="24">
                  <c:v>MYSORE</c:v>
                </c:pt>
                <c:pt idx="25">
                  <c:v>NAGPUR</c:v>
                </c:pt>
                <c:pt idx="26">
                  <c:v>NASHIK</c:v>
                </c:pt>
                <c:pt idx="27">
                  <c:v>NOIDA</c:v>
                </c:pt>
                <c:pt idx="28">
                  <c:v>PATNA</c:v>
                </c:pt>
                <c:pt idx="29">
                  <c:v>PUNE</c:v>
                </c:pt>
                <c:pt idx="30">
                  <c:v>RAIKOT</c:v>
                </c:pt>
                <c:pt idx="31">
                  <c:v>RAJKOT</c:v>
                </c:pt>
                <c:pt idx="32">
                  <c:v>RANCHI</c:v>
                </c:pt>
                <c:pt idx="33">
                  <c:v>SOLAPUR</c:v>
                </c:pt>
                <c:pt idx="34">
                  <c:v>SRINAGAR</c:v>
                </c:pt>
                <c:pt idx="35">
                  <c:v>SURAT</c:v>
                </c:pt>
                <c:pt idx="36">
                  <c:v>TGHANE</c:v>
                </c:pt>
                <c:pt idx="37">
                  <c:v>THANE</c:v>
                </c:pt>
                <c:pt idx="38">
                  <c:v>UDAIPUR</c:v>
                </c:pt>
                <c:pt idx="39">
                  <c:v>VADADORA</c:v>
                </c:pt>
                <c:pt idx="40">
                  <c:v>VADODARA</c:v>
                </c:pt>
                <c:pt idx="41">
                  <c:v>VARANASI</c:v>
                </c:pt>
                <c:pt idx="42">
                  <c:v>VISAKHA PATTANAM</c:v>
                </c:pt>
              </c:strCache>
            </c:strRef>
          </c:cat>
          <c:val>
            <c:numRef>
              <c:f>Sheet11!$K$12:$K$55</c:f>
              <c:numCache>
                <c:formatCode>General</c:formatCode>
                <c:ptCount val="43"/>
                <c:pt idx="0">
                  <c:v>422.79999999999995</c:v>
                </c:pt>
                <c:pt idx="1">
                  <c:v>160</c:v>
                </c:pt>
                <c:pt idx="2">
                  <c:v>400</c:v>
                </c:pt>
                <c:pt idx="3">
                  <c:v>1596</c:v>
                </c:pt>
                <c:pt idx="4">
                  <c:v>1236</c:v>
                </c:pt>
                <c:pt idx="5">
                  <c:v>1628</c:v>
                </c:pt>
                <c:pt idx="6">
                  <c:v>38.4</c:v>
                </c:pt>
                <c:pt idx="7">
                  <c:v>240</c:v>
                </c:pt>
                <c:pt idx="8">
                  <c:v>2459.4</c:v>
                </c:pt>
                <c:pt idx="9">
                  <c:v>4200</c:v>
                </c:pt>
                <c:pt idx="10">
                  <c:v>1400</c:v>
                </c:pt>
                <c:pt idx="11">
                  <c:v>425.7</c:v>
                </c:pt>
                <c:pt idx="12">
                  <c:v>142.80000000000001</c:v>
                </c:pt>
                <c:pt idx="13">
                  <c:v>1503</c:v>
                </c:pt>
                <c:pt idx="14">
                  <c:v>1608</c:v>
                </c:pt>
                <c:pt idx="15">
                  <c:v>1898.1000000000001</c:v>
                </c:pt>
                <c:pt idx="16">
                  <c:v>234</c:v>
                </c:pt>
                <c:pt idx="17">
                  <c:v>756.90000000000009</c:v>
                </c:pt>
                <c:pt idx="18">
                  <c:v>2084.6</c:v>
                </c:pt>
                <c:pt idx="19">
                  <c:v>240</c:v>
                </c:pt>
                <c:pt idx="20">
                  <c:v>2356</c:v>
                </c:pt>
                <c:pt idx="21">
                  <c:v>470.7</c:v>
                </c:pt>
                <c:pt idx="22">
                  <c:v>1720</c:v>
                </c:pt>
                <c:pt idx="23">
                  <c:v>2452.6</c:v>
                </c:pt>
                <c:pt idx="24">
                  <c:v>400</c:v>
                </c:pt>
                <c:pt idx="25">
                  <c:v>1313</c:v>
                </c:pt>
                <c:pt idx="26">
                  <c:v>80</c:v>
                </c:pt>
                <c:pt idx="27">
                  <c:v>7815</c:v>
                </c:pt>
                <c:pt idx="28">
                  <c:v>1020</c:v>
                </c:pt>
                <c:pt idx="29">
                  <c:v>4808.3999999999996</c:v>
                </c:pt>
                <c:pt idx="30">
                  <c:v>216</c:v>
                </c:pt>
                <c:pt idx="31">
                  <c:v>3000</c:v>
                </c:pt>
                <c:pt idx="32">
                  <c:v>704</c:v>
                </c:pt>
                <c:pt idx="33">
                  <c:v>200</c:v>
                </c:pt>
                <c:pt idx="34">
                  <c:v>93.6</c:v>
                </c:pt>
                <c:pt idx="35">
                  <c:v>603</c:v>
                </c:pt>
                <c:pt idx="36">
                  <c:v>48</c:v>
                </c:pt>
                <c:pt idx="37">
                  <c:v>256</c:v>
                </c:pt>
                <c:pt idx="38">
                  <c:v>1802</c:v>
                </c:pt>
                <c:pt idx="39">
                  <c:v>240</c:v>
                </c:pt>
                <c:pt idx="40">
                  <c:v>140</c:v>
                </c:pt>
                <c:pt idx="41">
                  <c:v>2595.1999999999998</c:v>
                </c:pt>
                <c:pt idx="42">
                  <c:v>406</c:v>
                </c:pt>
              </c:numCache>
            </c:numRef>
          </c:val>
          <c:extLst>
            <c:ext xmlns:c16="http://schemas.microsoft.com/office/drawing/2014/chart" uri="{C3380CC4-5D6E-409C-BE32-E72D297353CC}">
              <c16:uniqueId val="{00000000-1199-4FE2-AC65-7753E938972E}"/>
            </c:ext>
          </c:extLst>
        </c:ser>
        <c:dLbls>
          <c:showLegendKey val="0"/>
          <c:showVal val="0"/>
          <c:showCatName val="0"/>
          <c:showSerName val="0"/>
          <c:showPercent val="0"/>
          <c:showBubbleSize val="0"/>
        </c:dLbls>
        <c:axId val="1112579487"/>
        <c:axId val="1112579903"/>
      </c:areaChart>
      <c:catAx>
        <c:axId val="11125794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79903"/>
        <c:crosses val="autoZero"/>
        <c:auto val="1"/>
        <c:lblAlgn val="ctr"/>
        <c:lblOffset val="100"/>
        <c:noMultiLvlLbl val="0"/>
      </c:catAx>
      <c:valAx>
        <c:axId val="1112579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7948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solidFill>
              <a:schemeClr val="accent1"/>
            </a:solidFill>
            <a:ln>
              <a:noFill/>
            </a:ln>
            <a:effectLst/>
          </c:spPr>
          <c:invertIfNegative val="0"/>
          <c:cat>
            <c:strRef>
              <c:f>Sheet1!$A$4:$A$5</c:f>
              <c:strCache>
                <c:ptCount val="1"/>
                <c:pt idx="0">
                  <c:v>FEMALE</c:v>
                </c:pt>
              </c:strCache>
            </c:strRef>
          </c:cat>
          <c:val>
            <c:numRef>
              <c:f>Sheet1!$B$4:$B$5</c:f>
              <c:numCache>
                <c:formatCode>General</c:formatCode>
                <c:ptCount val="1"/>
                <c:pt idx="0">
                  <c:v>240</c:v>
                </c:pt>
              </c:numCache>
            </c:numRef>
          </c:val>
          <c:extLst>
            <c:ext xmlns:c16="http://schemas.microsoft.com/office/drawing/2014/chart" uri="{C3380CC4-5D6E-409C-BE32-E72D297353CC}">
              <c16:uniqueId val="{00000000-9BC0-4277-B495-F2EEFA3BC1EF}"/>
            </c:ext>
          </c:extLst>
        </c:ser>
        <c:dLbls>
          <c:showLegendKey val="0"/>
          <c:showVal val="0"/>
          <c:showCatName val="0"/>
          <c:showSerName val="0"/>
          <c:showPercent val="0"/>
          <c:showBubbleSize val="0"/>
        </c:dLbls>
        <c:gapWidth val="219"/>
        <c:overlap val="-27"/>
        <c:axId val="123743343"/>
        <c:axId val="123749583"/>
      </c:barChart>
      <c:catAx>
        <c:axId val="12374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49583"/>
        <c:crosses val="autoZero"/>
        <c:auto val="1"/>
        <c:lblAlgn val="ctr"/>
        <c:lblOffset val="100"/>
        <c:noMultiLvlLbl val="0"/>
      </c:catAx>
      <c:valAx>
        <c:axId val="123749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43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2.xlsm]Sheet1!PivotTable13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Sheet1!$I$4</c:f>
              <c:strCache>
                <c:ptCount val="1"/>
                <c:pt idx="0">
                  <c:v>Total</c:v>
                </c:pt>
              </c:strCache>
            </c:strRef>
          </c:tx>
          <c:spPr>
            <a:solidFill>
              <a:schemeClr val="accent1"/>
            </a:solidFill>
            <a:ln>
              <a:noFill/>
            </a:ln>
            <a:effectLst/>
          </c:spPr>
          <c:invertIfNegative val="0"/>
          <c:cat>
            <c:strRef>
              <c:f>Sheet1!$H$5:$H$6</c:f>
              <c:strCache>
                <c:ptCount val="1"/>
                <c:pt idx="0">
                  <c:v>HOME OFFICE</c:v>
                </c:pt>
              </c:strCache>
            </c:strRef>
          </c:cat>
          <c:val>
            <c:numRef>
              <c:f>Sheet1!$I$5:$I$6</c:f>
              <c:numCache>
                <c:formatCode>General</c:formatCode>
                <c:ptCount val="1"/>
                <c:pt idx="0">
                  <c:v>240</c:v>
                </c:pt>
              </c:numCache>
            </c:numRef>
          </c:val>
          <c:extLst>
            <c:ext xmlns:c16="http://schemas.microsoft.com/office/drawing/2014/chart" uri="{C3380CC4-5D6E-409C-BE32-E72D297353CC}">
              <c16:uniqueId val="{00000000-55A7-435C-AF38-60FE048DE6FB}"/>
            </c:ext>
          </c:extLst>
        </c:ser>
        <c:dLbls>
          <c:showLegendKey val="0"/>
          <c:showVal val="0"/>
          <c:showCatName val="0"/>
          <c:showSerName val="0"/>
          <c:showPercent val="0"/>
          <c:showBubbleSize val="0"/>
        </c:dLbls>
        <c:gapWidth val="182"/>
        <c:axId val="222726879"/>
        <c:axId val="222732287"/>
      </c:barChart>
      <c:catAx>
        <c:axId val="222726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732287"/>
        <c:crosses val="autoZero"/>
        <c:auto val="1"/>
        <c:lblAlgn val="ctr"/>
        <c:lblOffset val="100"/>
        <c:noMultiLvlLbl val="0"/>
      </c:catAx>
      <c:valAx>
        <c:axId val="2227322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726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2.xlsm]Sheet11!PivotTable4</c:name>
    <c:fmtId val="9"/>
  </c:pivotSource>
  <c:chart>
    <c:title>
      <c:tx>
        <c:rich>
          <a:bodyPr rot="0" spcFirstLastPara="1" vertOverflow="ellipsis" vert="horz" wrap="square" anchor="ctr" anchorCtr="1"/>
          <a:lstStyle/>
          <a:p>
            <a:pPr>
              <a:defRPr sz="1050" b="0" i="0" u="none" strike="noStrike" kern="1200" spc="0" baseline="0">
                <a:solidFill>
                  <a:schemeClr val="tx1"/>
                </a:solidFill>
                <a:latin typeface="Cambria" panose="02040503050406030204" pitchFamily="18" charset="0"/>
                <a:ea typeface="+mn-ea"/>
                <a:cs typeface="+mn-cs"/>
              </a:defRPr>
            </a:pPr>
            <a:r>
              <a:rPr lang="en-US" sz="1050">
                <a:solidFill>
                  <a:schemeClr val="tx1"/>
                </a:solidFill>
              </a:rPr>
              <a:t>SALES BY GENDER</a:t>
            </a:r>
          </a:p>
        </c:rich>
      </c:tx>
      <c:layout>
        <c:manualLayout>
          <c:xMode val="edge"/>
          <c:yMode val="edge"/>
          <c:x val="0.36872727272727268"/>
          <c:y val="6.727607324946451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solidFill>
              <a:latin typeface="Cambria" panose="02040503050406030204" pitchFamily="18"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mbria" panose="0204050305040603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50000"/>
            </a:schemeClr>
          </a:solidFill>
          <a:ln>
            <a:noFill/>
          </a:ln>
          <a:effectLst/>
        </c:spPr>
      </c:pivotFmt>
    </c:pivotFmts>
    <c:plotArea>
      <c:layout>
        <c:manualLayout>
          <c:layoutTarget val="inner"/>
          <c:xMode val="edge"/>
          <c:yMode val="edge"/>
          <c:x val="0.39068324939947885"/>
          <c:y val="0.19889095747377866"/>
          <c:w val="0.44820433580993274"/>
          <c:h val="0.6293157626130067"/>
        </c:manualLayout>
      </c:layout>
      <c:barChart>
        <c:barDir val="bar"/>
        <c:grouping val="clustered"/>
        <c:varyColors val="0"/>
        <c:ser>
          <c:idx val="0"/>
          <c:order val="0"/>
          <c:tx>
            <c:strRef>
              <c:f>Sheet11!$B$3</c:f>
              <c:strCache>
                <c:ptCount val="1"/>
                <c:pt idx="0">
                  <c:v>Total</c:v>
                </c:pt>
              </c:strCache>
            </c:strRef>
          </c:tx>
          <c:spPr>
            <a:solidFill>
              <a:schemeClr val="accent2">
                <a:lumMod val="75000"/>
              </a:schemeClr>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2-0A23-4DD6-9AF7-E37886235E03}"/>
              </c:ext>
            </c:extLst>
          </c:dPt>
          <c:cat>
            <c:strRef>
              <c:f>Sheet11!$A$4:$A$6</c:f>
              <c:strCache>
                <c:ptCount val="2"/>
                <c:pt idx="0">
                  <c:v>FEMALE</c:v>
                </c:pt>
                <c:pt idx="1">
                  <c:v>MALE</c:v>
                </c:pt>
              </c:strCache>
            </c:strRef>
          </c:cat>
          <c:val>
            <c:numRef>
              <c:f>Sheet11!$B$4:$B$6</c:f>
              <c:numCache>
                <c:formatCode>General</c:formatCode>
                <c:ptCount val="2"/>
                <c:pt idx="0">
                  <c:v>37956.800000000003</c:v>
                </c:pt>
                <c:pt idx="1">
                  <c:v>17456.399999999998</c:v>
                </c:pt>
              </c:numCache>
            </c:numRef>
          </c:val>
          <c:extLst>
            <c:ext xmlns:c16="http://schemas.microsoft.com/office/drawing/2014/chart" uri="{C3380CC4-5D6E-409C-BE32-E72D297353CC}">
              <c16:uniqueId val="{00000000-0A23-4DD6-9AF7-E37886235E03}"/>
            </c:ext>
          </c:extLst>
        </c:ser>
        <c:dLbls>
          <c:showLegendKey val="0"/>
          <c:showVal val="0"/>
          <c:showCatName val="0"/>
          <c:showSerName val="0"/>
          <c:showPercent val="0"/>
          <c:showBubbleSize val="0"/>
        </c:dLbls>
        <c:gapWidth val="182"/>
        <c:axId val="941009919"/>
        <c:axId val="941011999"/>
      </c:barChart>
      <c:catAx>
        <c:axId val="941009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Cambria" panose="02040503050406030204" pitchFamily="18" charset="0"/>
                <a:ea typeface="+mn-ea"/>
                <a:cs typeface="+mn-cs"/>
              </a:defRPr>
            </a:pPr>
            <a:endParaRPr lang="en-US"/>
          </a:p>
        </c:txPr>
        <c:crossAx val="941011999"/>
        <c:crosses val="autoZero"/>
        <c:auto val="1"/>
        <c:lblAlgn val="ctr"/>
        <c:lblOffset val="100"/>
        <c:noMultiLvlLbl val="0"/>
      </c:catAx>
      <c:valAx>
        <c:axId val="9410119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Cambria" panose="02040503050406030204" pitchFamily="18" charset="0"/>
                <a:ea typeface="+mn-ea"/>
                <a:cs typeface="+mn-cs"/>
              </a:defRPr>
            </a:pPr>
            <a:endParaRPr lang="en-US"/>
          </a:p>
        </c:txPr>
        <c:crossAx val="941009919"/>
        <c:crosses val="autoZero"/>
        <c:crossBetween val="between"/>
      </c:valAx>
      <c:spPr>
        <a:noFill/>
        <a:ln>
          <a:noFill/>
        </a:ln>
        <a:effectLst/>
      </c:spPr>
    </c:plotArea>
    <c:legend>
      <c:legendPos val="r"/>
      <c:layout>
        <c:manualLayout>
          <c:xMode val="edge"/>
          <c:yMode val="edge"/>
          <c:x val="0.77686985484652882"/>
          <c:y val="0.30094947449923964"/>
          <c:w val="0.19232706084306464"/>
          <c:h val="0.254839385087458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Cambria" panose="02040503050406030204" pitchFamily="18"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chemeClr val="accent1">
          <a:lumMod val="50000"/>
        </a:schemeClr>
      </a:solidFill>
      <a:round/>
    </a:ln>
    <a:effectLst/>
  </c:spPr>
  <c:txPr>
    <a:bodyPr/>
    <a:lstStyle/>
    <a:p>
      <a:pPr>
        <a:defRPr>
          <a:latin typeface="Cambria" panose="0204050305040603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r>
              <a:rPr lang="en-US" sz="1050">
                <a:solidFill>
                  <a:schemeClr val="tx1"/>
                </a:solidFill>
                <a:latin typeface="Cambria" panose="02040503050406030204" pitchFamily="18" charset="0"/>
              </a:rPr>
              <a:t>SALES</a:t>
            </a:r>
            <a:r>
              <a:rPr lang="en-US" sz="1050" baseline="0">
                <a:solidFill>
                  <a:schemeClr val="tx1"/>
                </a:solidFill>
                <a:latin typeface="Cambria" panose="02040503050406030204" pitchFamily="18" charset="0"/>
              </a:rPr>
              <a:t> BY SEGMENT</a:t>
            </a:r>
            <a:endParaRPr lang="en-US" sz="1050">
              <a:solidFill>
                <a:schemeClr val="tx1"/>
              </a:solidFill>
              <a:latin typeface="Cambria" panose="02040503050406030204" pitchFamily="18" charset="0"/>
            </a:endParaRPr>
          </a:p>
        </c:rich>
      </c:tx>
      <c:layout>
        <c:manualLayout>
          <c:xMode val="edge"/>
          <c:yMode val="edge"/>
          <c:x val="0.36421568627450979"/>
          <c:y val="7.45106861642294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7030A0"/>
          </a:solidFill>
          <a:ln w="19050">
            <a:solidFill>
              <a:schemeClr val="lt1"/>
            </a:solidFill>
          </a:ln>
          <a:effectLst/>
        </c:spPr>
      </c:pivotFmt>
      <c:pivotFmt>
        <c:idx val="15"/>
        <c:spPr>
          <a:solidFill>
            <a:schemeClr val="accent5">
              <a:lumMod val="50000"/>
            </a:schemeClr>
          </a:solidFill>
          <a:ln w="19050">
            <a:solidFill>
              <a:schemeClr val="lt1"/>
            </a:solidFill>
          </a:ln>
          <a:effectLst/>
        </c:spPr>
      </c:pivotFmt>
      <c:pivotFmt>
        <c:idx val="16"/>
        <c:spPr>
          <a:solidFill>
            <a:schemeClr val="accent6"/>
          </a:solidFill>
          <a:ln w="19050">
            <a:solidFill>
              <a:schemeClr val="lt1"/>
            </a:solidFill>
          </a:ln>
          <a:effectLst/>
        </c:spPr>
      </c:pivotFmt>
    </c:pivotFmts>
    <c:plotArea>
      <c:layout/>
      <c:doughnutChart>
        <c:varyColors val="1"/>
        <c:ser>
          <c:idx val="0"/>
          <c:order val="0"/>
          <c:tx>
            <c:strRef>
              <c:f>Sheet11!$E$3</c:f>
              <c:strCache>
                <c:ptCount val="1"/>
                <c:pt idx="0">
                  <c:v>Total</c:v>
                </c:pt>
              </c:strCache>
            </c:strRef>
          </c:tx>
          <c:spPr>
            <a:solidFill>
              <a:schemeClr val="accent6"/>
            </a:solidFill>
          </c:spPr>
          <c:dPt>
            <c:idx val="0"/>
            <c:bubble3D val="0"/>
            <c:spPr>
              <a:solidFill>
                <a:srgbClr val="7030A0"/>
              </a:solidFill>
              <a:ln w="19050">
                <a:solidFill>
                  <a:schemeClr val="lt1"/>
                </a:solidFill>
              </a:ln>
              <a:effectLst/>
            </c:spPr>
            <c:extLst>
              <c:ext xmlns:c16="http://schemas.microsoft.com/office/drawing/2014/chart" uri="{C3380CC4-5D6E-409C-BE32-E72D297353CC}">
                <c16:uniqueId val="{00000001-E5A5-4E18-BC2C-0E59E7B7504F}"/>
              </c:ext>
            </c:extLst>
          </c:dPt>
          <c:dPt>
            <c:idx val="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3-E5A5-4E18-BC2C-0E59E7B7504F}"/>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E5A5-4E18-BC2C-0E59E7B7504F}"/>
              </c:ext>
            </c:extLst>
          </c:dPt>
          <c:cat>
            <c:strRef>
              <c:f>Sheet11!$D$4:$D$7</c:f>
              <c:strCache>
                <c:ptCount val="3"/>
                <c:pt idx="0">
                  <c:v>CONSUMER</c:v>
                </c:pt>
                <c:pt idx="1">
                  <c:v>CORPORATE</c:v>
                </c:pt>
                <c:pt idx="2">
                  <c:v>HOME OFFICE</c:v>
                </c:pt>
              </c:strCache>
            </c:strRef>
          </c:cat>
          <c:val>
            <c:numRef>
              <c:f>Sheet11!$E$4:$E$7</c:f>
              <c:numCache>
                <c:formatCode>General</c:formatCode>
                <c:ptCount val="3"/>
                <c:pt idx="0">
                  <c:v>37197.899999999994</c:v>
                </c:pt>
                <c:pt idx="1">
                  <c:v>9746.1999999999989</c:v>
                </c:pt>
                <c:pt idx="2">
                  <c:v>8469.1</c:v>
                </c:pt>
              </c:numCache>
            </c:numRef>
          </c:val>
          <c:extLst>
            <c:ext xmlns:c16="http://schemas.microsoft.com/office/drawing/2014/chart" uri="{C3380CC4-5D6E-409C-BE32-E72D297353CC}">
              <c16:uniqueId val="{00000006-E5A5-4E18-BC2C-0E59E7B7504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r>
              <a:rPr lang="en-US" sz="1100">
                <a:solidFill>
                  <a:schemeClr val="tx1"/>
                </a:solidFill>
                <a:latin typeface="Cambria" panose="02040503050406030204" pitchFamily="18" charset="0"/>
              </a:rPr>
              <a:t>SALES BY REGION</a:t>
            </a:r>
          </a:p>
        </c:rich>
      </c:tx>
      <c:layout>
        <c:manualLayout>
          <c:xMode val="edge"/>
          <c:yMode val="edge"/>
          <c:x val="0.32748277893834699"/>
          <c:y val="0.1271176330231448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C00000"/>
          </a:solidFill>
          <a:ln w="19050">
            <a:solidFill>
              <a:schemeClr val="lt1"/>
            </a:solidFill>
          </a:ln>
          <a:effectLst/>
        </c:spPr>
      </c:pivotFmt>
      <c:pivotFmt>
        <c:idx val="18"/>
        <c:spPr>
          <a:solidFill>
            <a:schemeClr val="accent4">
              <a:lumMod val="50000"/>
            </a:schemeClr>
          </a:solidFill>
          <a:ln w="19050">
            <a:solidFill>
              <a:schemeClr val="lt1"/>
            </a:solidFill>
          </a:ln>
          <a:effectLst/>
        </c:spPr>
      </c:pivotFmt>
      <c:pivotFmt>
        <c:idx val="19"/>
        <c:spPr>
          <a:solidFill>
            <a:srgbClr val="0070C0"/>
          </a:solidFill>
          <a:ln w="19050">
            <a:solidFill>
              <a:schemeClr val="lt1"/>
            </a:solidFill>
          </a:ln>
          <a:effectLst/>
        </c:spPr>
      </c:pivotFmt>
      <c:pivotFmt>
        <c:idx val="20"/>
        <c:spPr>
          <a:solidFill>
            <a:schemeClr val="accent6">
              <a:lumMod val="75000"/>
            </a:schemeClr>
          </a:solidFill>
          <a:ln w="19050">
            <a:solidFill>
              <a:schemeClr val="lt1"/>
            </a:solidFill>
          </a:ln>
          <a:effectLst/>
        </c:spPr>
      </c:pivotFmt>
    </c:pivotFmts>
    <c:plotArea>
      <c:layout/>
      <c:pieChart>
        <c:varyColors val="1"/>
        <c:ser>
          <c:idx val="0"/>
          <c:order val="0"/>
          <c:tx>
            <c:strRef>
              <c:f>Sheet11!$H$3</c:f>
              <c:strCache>
                <c:ptCount val="1"/>
                <c:pt idx="0">
                  <c:v>Total</c:v>
                </c:pt>
              </c:strCache>
            </c:strRef>
          </c:tx>
          <c:spPr>
            <a:solidFill>
              <a:srgbClr val="0070C0"/>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C081-4662-AD01-85E4175AB96D}"/>
              </c:ext>
            </c:extLst>
          </c:dPt>
          <c:dPt>
            <c:idx val="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3-C081-4662-AD01-85E4175AB96D}"/>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C081-4662-AD01-85E4175AB96D}"/>
              </c:ext>
            </c:extLst>
          </c:dPt>
          <c:dPt>
            <c:idx val="3"/>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7-C081-4662-AD01-85E4175AB96D}"/>
              </c:ext>
            </c:extLst>
          </c:dPt>
          <c:cat>
            <c:strRef>
              <c:f>Sheet11!$G$4:$G$8</c:f>
              <c:strCache>
                <c:ptCount val="4"/>
                <c:pt idx="0">
                  <c:v>EAST</c:v>
                </c:pt>
                <c:pt idx="1">
                  <c:v>NORTH</c:v>
                </c:pt>
                <c:pt idx="2">
                  <c:v>SOUTH</c:v>
                </c:pt>
                <c:pt idx="3">
                  <c:v>WEST</c:v>
                </c:pt>
              </c:strCache>
            </c:strRef>
          </c:cat>
          <c:val>
            <c:numRef>
              <c:f>Sheet11!$H$4:$H$8</c:f>
              <c:numCache>
                <c:formatCode>General</c:formatCode>
                <c:ptCount val="4"/>
                <c:pt idx="0">
                  <c:v>9921.0999999999985</c:v>
                </c:pt>
                <c:pt idx="1">
                  <c:v>16253</c:v>
                </c:pt>
                <c:pt idx="2">
                  <c:v>13115.5</c:v>
                </c:pt>
                <c:pt idx="3">
                  <c:v>16123.600000000002</c:v>
                </c:pt>
              </c:numCache>
            </c:numRef>
          </c:val>
          <c:extLst>
            <c:ext xmlns:c16="http://schemas.microsoft.com/office/drawing/2014/chart" uri="{C3380CC4-5D6E-409C-BE32-E72D297353CC}">
              <c16:uniqueId val="{00000008-C081-4662-AD01-85E4175AB96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2.xlsm]Sheet11!PivotTable9</c:name>
    <c:fmtId val="4"/>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a:solidFill>
                  <a:schemeClr val="tx1"/>
                </a:solidFill>
                <a:latin typeface="Cambria" panose="02040503050406030204" pitchFamily="18" charset="0"/>
              </a:rPr>
              <a:t>SALES</a:t>
            </a:r>
            <a:r>
              <a:rPr lang="en-US" sz="1200" baseline="0">
                <a:solidFill>
                  <a:schemeClr val="tx1"/>
                </a:solidFill>
                <a:latin typeface="Cambria" panose="02040503050406030204" pitchFamily="18" charset="0"/>
              </a:rPr>
              <a:t> BY MONTH</a:t>
            </a:r>
            <a:endParaRPr lang="en-US" sz="1200">
              <a:solidFill>
                <a:schemeClr val="tx1"/>
              </a:solidFill>
              <a:latin typeface="Cambria" panose="02040503050406030204" pitchFamily="18" charset="0"/>
            </a:endParaRPr>
          </a:p>
        </c:rich>
      </c:tx>
      <c:layout>
        <c:manualLayout>
          <c:xMode val="edge"/>
          <c:yMode val="edge"/>
          <c:x val="0.44909077274431602"/>
          <c:y val="0.1035773306114513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70C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a:sp3d/>
        </c:spPr>
      </c:pivotFmt>
      <c:pivotFmt>
        <c:idx val="6"/>
        <c:spPr>
          <a:solidFill>
            <a:schemeClr val="accent6">
              <a:lumMod val="75000"/>
            </a:schemeClr>
          </a:solidFill>
          <a:ln>
            <a:noFill/>
          </a:ln>
          <a:effectLst/>
          <a:sp3d/>
        </c:spPr>
      </c:pivotFmt>
      <c:pivotFmt>
        <c:idx val="7"/>
        <c:spPr>
          <a:solidFill>
            <a:schemeClr val="accent4">
              <a:lumMod val="75000"/>
            </a:schemeClr>
          </a:solidFill>
          <a:ln>
            <a:noFill/>
          </a:ln>
          <a:effectLst/>
          <a:sp3d/>
        </c:spPr>
      </c:pivotFmt>
      <c:pivotFmt>
        <c:idx val="8"/>
        <c:spPr>
          <a:solidFill>
            <a:srgbClr val="7030A0"/>
          </a:solidFill>
          <a:ln>
            <a:noFill/>
          </a:ln>
          <a:effectLst/>
          <a:sp3d/>
        </c:spPr>
      </c:pivotFmt>
      <c:pivotFmt>
        <c:idx val="9"/>
        <c:spPr>
          <a:solidFill>
            <a:srgbClr val="FF0000"/>
          </a:solidFill>
          <a:ln>
            <a:noFill/>
          </a:ln>
          <a:effectLst/>
          <a:sp3d/>
        </c:spPr>
      </c:pivotFmt>
      <c:pivotFmt>
        <c:idx val="10"/>
        <c:spPr>
          <a:solidFill>
            <a:srgbClr val="002060"/>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7834857006510549"/>
          <c:y val="0.31400942937688336"/>
          <c:w val="0.6460237270341207"/>
          <c:h val="0.38365850102070576"/>
        </c:manualLayout>
      </c:layout>
      <c:bar3DChart>
        <c:barDir val="col"/>
        <c:grouping val="clustered"/>
        <c:varyColors val="0"/>
        <c:ser>
          <c:idx val="0"/>
          <c:order val="0"/>
          <c:tx>
            <c:strRef>
              <c:f>Sheet11!$H$11</c:f>
              <c:strCache>
                <c:ptCount val="1"/>
                <c:pt idx="0">
                  <c:v>Total</c:v>
                </c:pt>
              </c:strCache>
            </c:strRef>
          </c:tx>
          <c:spPr>
            <a:solidFill>
              <a:srgbClr val="0070C0"/>
            </a:solidFill>
            <a:ln>
              <a:noFill/>
            </a:ln>
            <a:effectLst/>
            <a:sp3d/>
          </c:spPr>
          <c:invertIfNegative val="0"/>
          <c:dPt>
            <c:idx val="0"/>
            <c:invertIfNegative val="0"/>
            <c:bubble3D val="0"/>
            <c:spPr>
              <a:solidFill>
                <a:srgbClr val="FF0000"/>
              </a:solidFill>
              <a:ln>
                <a:noFill/>
              </a:ln>
              <a:effectLst/>
              <a:sp3d/>
            </c:spPr>
            <c:extLst>
              <c:ext xmlns:c16="http://schemas.microsoft.com/office/drawing/2014/chart" uri="{C3380CC4-5D6E-409C-BE32-E72D297353CC}">
                <c16:uniqueId val="{00000006-1AA6-4A4E-935B-9FF817B0D561}"/>
              </c:ext>
            </c:extLst>
          </c:dPt>
          <c:dPt>
            <c:idx val="1"/>
            <c:invertIfNegative val="0"/>
            <c:bubble3D val="0"/>
            <c:spPr>
              <a:solidFill>
                <a:srgbClr val="7030A0"/>
              </a:solidFill>
              <a:ln>
                <a:noFill/>
              </a:ln>
              <a:effectLst/>
              <a:sp3d/>
            </c:spPr>
            <c:extLst>
              <c:ext xmlns:c16="http://schemas.microsoft.com/office/drawing/2014/chart" uri="{C3380CC4-5D6E-409C-BE32-E72D297353CC}">
                <c16:uniqueId val="{00000005-1AA6-4A4E-935B-9FF817B0D561}"/>
              </c:ext>
            </c:extLst>
          </c:dPt>
          <c:dPt>
            <c:idx val="2"/>
            <c:invertIfNegative val="0"/>
            <c:bubble3D val="0"/>
            <c:spPr>
              <a:solidFill>
                <a:schemeClr val="accent4">
                  <a:lumMod val="75000"/>
                </a:schemeClr>
              </a:solidFill>
              <a:ln>
                <a:noFill/>
              </a:ln>
              <a:effectLst/>
              <a:sp3d/>
            </c:spPr>
            <c:extLst>
              <c:ext xmlns:c16="http://schemas.microsoft.com/office/drawing/2014/chart" uri="{C3380CC4-5D6E-409C-BE32-E72D297353CC}">
                <c16:uniqueId val="{00000004-1AA6-4A4E-935B-9FF817B0D561}"/>
              </c:ext>
            </c:extLst>
          </c:dPt>
          <c:dPt>
            <c:idx val="3"/>
            <c:invertIfNegative val="0"/>
            <c:bubble3D val="0"/>
            <c:spPr>
              <a:solidFill>
                <a:schemeClr val="accent2">
                  <a:lumMod val="75000"/>
                </a:schemeClr>
              </a:solidFill>
              <a:ln>
                <a:noFill/>
              </a:ln>
              <a:effectLst/>
              <a:sp3d/>
            </c:spPr>
            <c:extLst>
              <c:ext xmlns:c16="http://schemas.microsoft.com/office/drawing/2014/chart" uri="{C3380CC4-5D6E-409C-BE32-E72D297353CC}">
                <c16:uniqueId val="{00000002-1AA6-4A4E-935B-9FF817B0D561}"/>
              </c:ext>
            </c:extLst>
          </c:dPt>
          <c:dPt>
            <c:idx val="4"/>
            <c:invertIfNegative val="0"/>
            <c:bubble3D val="0"/>
            <c:spPr>
              <a:solidFill>
                <a:schemeClr val="accent6">
                  <a:lumMod val="75000"/>
                </a:schemeClr>
              </a:solidFill>
              <a:ln>
                <a:noFill/>
              </a:ln>
              <a:effectLst/>
              <a:sp3d/>
            </c:spPr>
            <c:extLst>
              <c:ext xmlns:c16="http://schemas.microsoft.com/office/drawing/2014/chart" uri="{C3380CC4-5D6E-409C-BE32-E72D297353CC}">
                <c16:uniqueId val="{00000003-1AA6-4A4E-935B-9FF817B0D561}"/>
              </c:ext>
            </c:extLst>
          </c:dPt>
          <c:dPt>
            <c:idx val="5"/>
            <c:invertIfNegative val="0"/>
            <c:bubble3D val="0"/>
            <c:spPr>
              <a:solidFill>
                <a:srgbClr val="002060"/>
              </a:solidFill>
              <a:ln>
                <a:noFill/>
              </a:ln>
              <a:effectLst/>
              <a:sp3d/>
            </c:spPr>
            <c:extLst>
              <c:ext xmlns:c16="http://schemas.microsoft.com/office/drawing/2014/chart" uri="{C3380CC4-5D6E-409C-BE32-E72D297353CC}">
                <c16:uniqueId val="{00000007-1AA6-4A4E-935B-9FF817B0D561}"/>
              </c:ext>
            </c:extLst>
          </c:dPt>
          <c:cat>
            <c:strRef>
              <c:f>Sheet11!$G$12:$G$19</c:f>
              <c:strCache>
                <c:ptCount val="7"/>
                <c:pt idx="0">
                  <c:v>JAN</c:v>
                </c:pt>
                <c:pt idx="1">
                  <c:v>FEB</c:v>
                </c:pt>
                <c:pt idx="2">
                  <c:v>APRIL</c:v>
                </c:pt>
                <c:pt idx="3">
                  <c:v>MAY</c:v>
                </c:pt>
                <c:pt idx="4">
                  <c:v>JUNE</c:v>
                </c:pt>
                <c:pt idx="5">
                  <c:v>JULY</c:v>
                </c:pt>
                <c:pt idx="6">
                  <c:v>MAR </c:v>
                </c:pt>
              </c:strCache>
            </c:strRef>
          </c:cat>
          <c:val>
            <c:numRef>
              <c:f>Sheet11!$H$12:$H$19</c:f>
              <c:numCache>
                <c:formatCode>General</c:formatCode>
                <c:ptCount val="7"/>
                <c:pt idx="0">
                  <c:v>2070</c:v>
                </c:pt>
                <c:pt idx="1">
                  <c:v>1302.5</c:v>
                </c:pt>
                <c:pt idx="2">
                  <c:v>9768.7000000000007</c:v>
                </c:pt>
                <c:pt idx="3">
                  <c:v>11464.3</c:v>
                </c:pt>
                <c:pt idx="4">
                  <c:v>24146</c:v>
                </c:pt>
                <c:pt idx="5">
                  <c:v>3917.7</c:v>
                </c:pt>
                <c:pt idx="6">
                  <c:v>2744</c:v>
                </c:pt>
              </c:numCache>
            </c:numRef>
          </c:val>
          <c:extLst>
            <c:ext xmlns:c16="http://schemas.microsoft.com/office/drawing/2014/chart" uri="{C3380CC4-5D6E-409C-BE32-E72D297353CC}">
              <c16:uniqueId val="{00000000-1AA6-4A4E-935B-9FF817B0D561}"/>
            </c:ext>
          </c:extLst>
        </c:ser>
        <c:dLbls>
          <c:showLegendKey val="0"/>
          <c:showVal val="0"/>
          <c:showCatName val="0"/>
          <c:showSerName val="0"/>
          <c:showPercent val="0"/>
          <c:showBubbleSize val="0"/>
        </c:dLbls>
        <c:gapWidth val="150"/>
        <c:shape val="box"/>
        <c:axId val="1144892031"/>
        <c:axId val="1144894943"/>
        <c:axId val="0"/>
      </c:bar3DChart>
      <c:catAx>
        <c:axId val="1144892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44894943"/>
        <c:crosses val="autoZero"/>
        <c:auto val="1"/>
        <c:lblAlgn val="ctr"/>
        <c:lblOffset val="100"/>
        <c:noMultiLvlLbl val="0"/>
      </c:catAx>
      <c:valAx>
        <c:axId val="1144894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44892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2.xlsm]Sheet11!PivotTable1</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SALES</a:t>
            </a:r>
            <a:r>
              <a:rPr lang="en-US" baseline="0">
                <a:solidFill>
                  <a:schemeClr val="tx1"/>
                </a:solidFill>
              </a:rPr>
              <a:t> BY CITY</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65462808835357"/>
          <c:y val="0.30694887498037104"/>
          <c:w val="0.72744672153001189"/>
          <c:h val="0.25064136213742511"/>
        </c:manualLayout>
      </c:layout>
      <c:barChart>
        <c:barDir val="col"/>
        <c:grouping val="clustered"/>
        <c:varyColors val="0"/>
        <c:ser>
          <c:idx val="0"/>
          <c:order val="0"/>
          <c:tx>
            <c:strRef>
              <c:f>Sheet11!$K$11</c:f>
              <c:strCache>
                <c:ptCount val="1"/>
                <c:pt idx="0">
                  <c:v>Total</c:v>
                </c:pt>
              </c:strCache>
            </c:strRef>
          </c:tx>
          <c:spPr>
            <a:solidFill>
              <a:srgbClr val="002060"/>
            </a:solidFill>
            <a:ln>
              <a:noFill/>
            </a:ln>
            <a:effectLst/>
          </c:spPr>
          <c:invertIfNegative val="0"/>
          <c:cat>
            <c:strRef>
              <c:f>Sheet11!$J$12:$J$55</c:f>
              <c:strCache>
                <c:ptCount val="43"/>
                <c:pt idx="0">
                  <c:v>AGRA</c:v>
                </c:pt>
                <c:pt idx="1">
                  <c:v>AHMEDABAD</c:v>
                </c:pt>
                <c:pt idx="2">
                  <c:v>ALIGARH</c:v>
                </c:pt>
                <c:pt idx="3">
                  <c:v>BANGALORE</c:v>
                </c:pt>
                <c:pt idx="4">
                  <c:v>BHILAI</c:v>
                </c:pt>
                <c:pt idx="5">
                  <c:v>BHOPAL</c:v>
                </c:pt>
                <c:pt idx="6">
                  <c:v>BILASPUR</c:v>
                </c:pt>
                <c:pt idx="7">
                  <c:v>CHANDIGARH</c:v>
                </c:pt>
                <c:pt idx="8">
                  <c:v>CHENNAI</c:v>
                </c:pt>
                <c:pt idx="9">
                  <c:v>COIMBATORE</c:v>
                </c:pt>
                <c:pt idx="10">
                  <c:v>DELHI</c:v>
                </c:pt>
                <c:pt idx="11">
                  <c:v>GUWAHATI</c:v>
                </c:pt>
                <c:pt idx="12">
                  <c:v>HYDERABAD</c:v>
                </c:pt>
                <c:pt idx="13">
                  <c:v>INDORE</c:v>
                </c:pt>
                <c:pt idx="14">
                  <c:v>JAIPUR</c:v>
                </c:pt>
                <c:pt idx="15">
                  <c:v>JODHPUR</c:v>
                </c:pt>
                <c:pt idx="16">
                  <c:v>KAKINADA</c:v>
                </c:pt>
                <c:pt idx="17">
                  <c:v>KANPUR</c:v>
                </c:pt>
                <c:pt idx="18">
                  <c:v>KOLKATA</c:v>
                </c:pt>
                <c:pt idx="19">
                  <c:v>LUCKNOW</c:v>
                </c:pt>
                <c:pt idx="20">
                  <c:v>MADURAI</c:v>
                </c:pt>
                <c:pt idx="21">
                  <c:v>MANGALORE</c:v>
                </c:pt>
                <c:pt idx="22">
                  <c:v>MEERUT</c:v>
                </c:pt>
                <c:pt idx="23">
                  <c:v>MUMBAI</c:v>
                </c:pt>
                <c:pt idx="24">
                  <c:v>MYSORE</c:v>
                </c:pt>
                <c:pt idx="25">
                  <c:v>NAGPUR</c:v>
                </c:pt>
                <c:pt idx="26">
                  <c:v>NASHIK</c:v>
                </c:pt>
                <c:pt idx="27">
                  <c:v>NOIDA</c:v>
                </c:pt>
                <c:pt idx="28">
                  <c:v>PATNA</c:v>
                </c:pt>
                <c:pt idx="29">
                  <c:v>PUNE</c:v>
                </c:pt>
                <c:pt idx="30">
                  <c:v>RAIKOT</c:v>
                </c:pt>
                <c:pt idx="31">
                  <c:v>RAJKOT</c:v>
                </c:pt>
                <c:pt idx="32">
                  <c:v>RANCHI</c:v>
                </c:pt>
                <c:pt idx="33">
                  <c:v>SOLAPUR</c:v>
                </c:pt>
                <c:pt idx="34">
                  <c:v>SRINAGAR</c:v>
                </c:pt>
                <c:pt idx="35">
                  <c:v>SURAT</c:v>
                </c:pt>
                <c:pt idx="36">
                  <c:v>TGHANE</c:v>
                </c:pt>
                <c:pt idx="37">
                  <c:v>THANE</c:v>
                </c:pt>
                <c:pt idx="38">
                  <c:v>UDAIPUR</c:v>
                </c:pt>
                <c:pt idx="39">
                  <c:v>VADADORA</c:v>
                </c:pt>
                <c:pt idx="40">
                  <c:v>VADODARA</c:v>
                </c:pt>
                <c:pt idx="41">
                  <c:v>VARANASI</c:v>
                </c:pt>
                <c:pt idx="42">
                  <c:v>VISAKHA PATTANAM</c:v>
                </c:pt>
              </c:strCache>
            </c:strRef>
          </c:cat>
          <c:val>
            <c:numRef>
              <c:f>Sheet11!$K$12:$K$55</c:f>
              <c:numCache>
                <c:formatCode>General</c:formatCode>
                <c:ptCount val="43"/>
                <c:pt idx="0">
                  <c:v>422.79999999999995</c:v>
                </c:pt>
                <c:pt idx="1">
                  <c:v>160</c:v>
                </c:pt>
                <c:pt idx="2">
                  <c:v>400</c:v>
                </c:pt>
                <c:pt idx="3">
                  <c:v>1596</c:v>
                </c:pt>
                <c:pt idx="4">
                  <c:v>1236</c:v>
                </c:pt>
                <c:pt idx="5">
                  <c:v>1628</c:v>
                </c:pt>
                <c:pt idx="6">
                  <c:v>38.4</c:v>
                </c:pt>
                <c:pt idx="7">
                  <c:v>240</c:v>
                </c:pt>
                <c:pt idx="8">
                  <c:v>2459.4</c:v>
                </c:pt>
                <c:pt idx="9">
                  <c:v>4200</c:v>
                </c:pt>
                <c:pt idx="10">
                  <c:v>1400</c:v>
                </c:pt>
                <c:pt idx="11">
                  <c:v>425.7</c:v>
                </c:pt>
                <c:pt idx="12">
                  <c:v>142.80000000000001</c:v>
                </c:pt>
                <c:pt idx="13">
                  <c:v>1503</c:v>
                </c:pt>
                <c:pt idx="14">
                  <c:v>1608</c:v>
                </c:pt>
                <c:pt idx="15">
                  <c:v>1898.1000000000001</c:v>
                </c:pt>
                <c:pt idx="16">
                  <c:v>234</c:v>
                </c:pt>
                <c:pt idx="17">
                  <c:v>756.90000000000009</c:v>
                </c:pt>
                <c:pt idx="18">
                  <c:v>2084.6</c:v>
                </c:pt>
                <c:pt idx="19">
                  <c:v>240</c:v>
                </c:pt>
                <c:pt idx="20">
                  <c:v>2356</c:v>
                </c:pt>
                <c:pt idx="21">
                  <c:v>470.7</c:v>
                </c:pt>
                <c:pt idx="22">
                  <c:v>1720</c:v>
                </c:pt>
                <c:pt idx="23">
                  <c:v>2452.6</c:v>
                </c:pt>
                <c:pt idx="24">
                  <c:v>400</c:v>
                </c:pt>
                <c:pt idx="25">
                  <c:v>1313</c:v>
                </c:pt>
                <c:pt idx="26">
                  <c:v>80</c:v>
                </c:pt>
                <c:pt idx="27">
                  <c:v>7815</c:v>
                </c:pt>
                <c:pt idx="28">
                  <c:v>1020</c:v>
                </c:pt>
                <c:pt idx="29">
                  <c:v>4808.3999999999996</c:v>
                </c:pt>
                <c:pt idx="30">
                  <c:v>216</c:v>
                </c:pt>
                <c:pt idx="31">
                  <c:v>3000</c:v>
                </c:pt>
                <c:pt idx="32">
                  <c:v>704</c:v>
                </c:pt>
                <c:pt idx="33">
                  <c:v>200</c:v>
                </c:pt>
                <c:pt idx="34">
                  <c:v>93.6</c:v>
                </c:pt>
                <c:pt idx="35">
                  <c:v>603</c:v>
                </c:pt>
                <c:pt idx="36">
                  <c:v>48</c:v>
                </c:pt>
                <c:pt idx="37">
                  <c:v>256</c:v>
                </c:pt>
                <c:pt idx="38">
                  <c:v>1802</c:v>
                </c:pt>
                <c:pt idx="39">
                  <c:v>240</c:v>
                </c:pt>
                <c:pt idx="40">
                  <c:v>140</c:v>
                </c:pt>
                <c:pt idx="41">
                  <c:v>2595.1999999999998</c:v>
                </c:pt>
                <c:pt idx="42">
                  <c:v>406</c:v>
                </c:pt>
              </c:numCache>
            </c:numRef>
          </c:val>
          <c:extLst>
            <c:ext xmlns:c16="http://schemas.microsoft.com/office/drawing/2014/chart" uri="{C3380CC4-5D6E-409C-BE32-E72D297353CC}">
              <c16:uniqueId val="{00000000-D056-40DB-8B26-FF364B9D7BCC}"/>
            </c:ext>
          </c:extLst>
        </c:ser>
        <c:dLbls>
          <c:showLegendKey val="0"/>
          <c:showVal val="0"/>
          <c:showCatName val="0"/>
          <c:showSerName val="0"/>
          <c:showPercent val="0"/>
          <c:showBubbleSize val="0"/>
        </c:dLbls>
        <c:gapWidth val="150"/>
        <c:axId val="1112579487"/>
        <c:axId val="1112579903"/>
      </c:barChart>
      <c:catAx>
        <c:axId val="11125794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12579903"/>
        <c:crosses val="autoZero"/>
        <c:auto val="1"/>
        <c:lblAlgn val="ctr"/>
        <c:lblOffset val="100"/>
        <c:noMultiLvlLbl val="0"/>
      </c:catAx>
      <c:valAx>
        <c:axId val="1112579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1257948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2.xlsm]Sheet11!PivotTable4</c:name>
    <c:fmtId val="18"/>
  </c:pivotSource>
  <c:chart>
    <c:title>
      <c:tx>
        <c:rich>
          <a:bodyPr rot="0" spcFirstLastPara="1" vertOverflow="ellipsis" vert="horz" wrap="square" anchor="ctr" anchorCtr="1"/>
          <a:lstStyle/>
          <a:p>
            <a:pPr>
              <a:defRPr sz="1050" b="0" i="0" u="none" strike="noStrike" kern="1200" spc="0" baseline="0">
                <a:solidFill>
                  <a:schemeClr val="tx1"/>
                </a:solidFill>
                <a:latin typeface="Cambria" panose="02040503050406030204" pitchFamily="18" charset="0"/>
                <a:ea typeface="+mn-ea"/>
                <a:cs typeface="+mn-cs"/>
              </a:defRPr>
            </a:pPr>
            <a:r>
              <a:rPr lang="en-US" sz="1050">
                <a:solidFill>
                  <a:schemeClr val="tx1"/>
                </a:solidFill>
              </a:rPr>
              <a:t>SALES BY GENDER</a:t>
            </a:r>
          </a:p>
        </c:rich>
      </c:tx>
      <c:layout>
        <c:manualLayout>
          <c:xMode val="edge"/>
          <c:yMode val="edge"/>
          <c:x val="0.36872727272727268"/>
          <c:y val="6.727607324946451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solidFill>
              <a:latin typeface="Cambria" panose="02040503050406030204" pitchFamily="18"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Cambria" panose="0204050305040603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50000"/>
            </a:schemeClr>
          </a:solidFill>
          <a:ln>
            <a:noFill/>
          </a:ln>
          <a:effectLst/>
        </c:spPr>
      </c:pivotFmt>
      <c:pivotFmt>
        <c:idx val="6"/>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mbria" panose="020405030504060302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50000"/>
            </a:schemeClr>
          </a:solidFill>
          <a:ln>
            <a:noFill/>
          </a:ln>
          <a:effectLst/>
        </c:spPr>
      </c:pivotFmt>
      <c:pivotFmt>
        <c:idx val="8"/>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mbria" panose="020405030504060302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50000"/>
            </a:schemeClr>
          </a:solidFill>
          <a:ln>
            <a:noFill/>
          </a:ln>
          <a:effectLst/>
        </c:spPr>
      </c:pivotFmt>
    </c:pivotFmts>
    <c:plotArea>
      <c:layout>
        <c:manualLayout>
          <c:layoutTarget val="inner"/>
          <c:xMode val="edge"/>
          <c:yMode val="edge"/>
          <c:x val="0.39068306624925786"/>
          <c:y val="0.22161818314377368"/>
          <c:w val="0.44820433580993274"/>
          <c:h val="0.6293157626130067"/>
        </c:manualLayout>
      </c:layout>
      <c:barChart>
        <c:barDir val="bar"/>
        <c:grouping val="clustered"/>
        <c:varyColors val="0"/>
        <c:ser>
          <c:idx val="0"/>
          <c:order val="0"/>
          <c:tx>
            <c:strRef>
              <c:f>Sheet11!$B$3</c:f>
              <c:strCache>
                <c:ptCount val="1"/>
                <c:pt idx="0">
                  <c:v>Total</c:v>
                </c:pt>
              </c:strCache>
            </c:strRef>
          </c:tx>
          <c:spPr>
            <a:solidFill>
              <a:schemeClr val="accent2">
                <a:lumMod val="75000"/>
              </a:schemeClr>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F099-4C0A-BE1E-8A27B0AE305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Cambria" panose="020405030504060302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Sheet11!$A$4:$A$6</c:f>
              <c:strCache>
                <c:ptCount val="2"/>
                <c:pt idx="0">
                  <c:v>FEMALE</c:v>
                </c:pt>
                <c:pt idx="1">
                  <c:v>MALE</c:v>
                </c:pt>
              </c:strCache>
            </c:strRef>
          </c:cat>
          <c:val>
            <c:numRef>
              <c:f>Sheet11!$B$4:$B$6</c:f>
              <c:numCache>
                <c:formatCode>General</c:formatCode>
                <c:ptCount val="2"/>
                <c:pt idx="0">
                  <c:v>37956.800000000003</c:v>
                </c:pt>
                <c:pt idx="1">
                  <c:v>17456.399999999998</c:v>
                </c:pt>
              </c:numCache>
            </c:numRef>
          </c:val>
          <c:extLst>
            <c:ext xmlns:c16="http://schemas.microsoft.com/office/drawing/2014/chart" uri="{C3380CC4-5D6E-409C-BE32-E72D297353CC}">
              <c16:uniqueId val="{00000002-F099-4C0A-BE1E-8A27B0AE3056}"/>
            </c:ext>
          </c:extLst>
        </c:ser>
        <c:dLbls>
          <c:dLblPos val="outEnd"/>
          <c:showLegendKey val="0"/>
          <c:showVal val="1"/>
          <c:showCatName val="0"/>
          <c:showSerName val="0"/>
          <c:showPercent val="0"/>
          <c:showBubbleSize val="0"/>
        </c:dLbls>
        <c:gapWidth val="182"/>
        <c:axId val="941009919"/>
        <c:axId val="941011999"/>
      </c:barChart>
      <c:catAx>
        <c:axId val="941009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mbria" panose="02040503050406030204" pitchFamily="18" charset="0"/>
                <a:ea typeface="+mn-ea"/>
                <a:cs typeface="+mn-cs"/>
              </a:defRPr>
            </a:pPr>
            <a:endParaRPr lang="en-US"/>
          </a:p>
        </c:txPr>
        <c:crossAx val="941011999"/>
        <c:crosses val="autoZero"/>
        <c:auto val="1"/>
        <c:lblAlgn val="ctr"/>
        <c:lblOffset val="100"/>
        <c:noMultiLvlLbl val="0"/>
      </c:catAx>
      <c:valAx>
        <c:axId val="941011999"/>
        <c:scaling>
          <c:orientation val="minMax"/>
        </c:scaling>
        <c:delete val="0"/>
        <c:axPos val="b"/>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mbria" panose="02040503050406030204" pitchFamily="18" charset="0"/>
                <a:ea typeface="+mn-ea"/>
                <a:cs typeface="+mn-cs"/>
              </a:defRPr>
            </a:pPr>
            <a:endParaRPr lang="en-US"/>
          </a:p>
        </c:txPr>
        <c:crossAx val="941009919"/>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mbria" panose="02040503050406030204" pitchFamily="18"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15875" cap="flat" cmpd="sng" algn="ctr">
      <a:solidFill>
        <a:schemeClr val="accent6">
          <a:lumMod val="50000"/>
        </a:schemeClr>
      </a:solidFill>
      <a:round/>
    </a:ln>
    <a:effectLst/>
  </c:spPr>
  <c:txPr>
    <a:bodyPr/>
    <a:lstStyle/>
    <a:p>
      <a:pPr>
        <a:defRPr>
          <a:latin typeface="Cambria" panose="0204050305040603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2.xlsm]Sheet11!PivotTable5</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r>
              <a:rPr lang="en-US" sz="1050">
                <a:solidFill>
                  <a:schemeClr val="tx1"/>
                </a:solidFill>
                <a:latin typeface="Cambria" panose="02040503050406030204" pitchFamily="18" charset="0"/>
              </a:rPr>
              <a:t>SALES</a:t>
            </a:r>
            <a:r>
              <a:rPr lang="en-US" sz="1050" baseline="0">
                <a:solidFill>
                  <a:schemeClr val="tx1"/>
                </a:solidFill>
                <a:latin typeface="Cambria" panose="02040503050406030204" pitchFamily="18" charset="0"/>
              </a:rPr>
              <a:t> BY SEGMENT</a:t>
            </a:r>
            <a:endParaRPr lang="en-US" sz="1050">
              <a:solidFill>
                <a:schemeClr val="tx1"/>
              </a:solidFill>
              <a:latin typeface="Cambria" panose="02040503050406030204" pitchFamily="18" charset="0"/>
            </a:endParaRPr>
          </a:p>
        </c:rich>
      </c:tx>
      <c:layout>
        <c:manualLayout>
          <c:xMode val="edge"/>
          <c:yMode val="edge"/>
          <c:x val="0.36421568627450979"/>
          <c:y val="7.45106861642294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7030A0"/>
          </a:solidFill>
          <a:ln w="19050">
            <a:solidFill>
              <a:schemeClr val="lt1"/>
            </a:solidFill>
          </a:ln>
          <a:effectLst/>
        </c:spPr>
      </c:pivotFmt>
      <c:pivotFmt>
        <c:idx val="15"/>
        <c:spPr>
          <a:solidFill>
            <a:schemeClr val="accent5">
              <a:lumMod val="50000"/>
            </a:schemeClr>
          </a:solidFill>
          <a:ln w="19050">
            <a:solidFill>
              <a:schemeClr val="lt1"/>
            </a:solidFill>
          </a:ln>
          <a:effectLst/>
        </c:spPr>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7030A0"/>
          </a:solidFill>
          <a:ln w="19050">
            <a:solidFill>
              <a:schemeClr val="lt1"/>
            </a:solidFill>
          </a:ln>
          <a:effectLst/>
        </c:spPr>
      </c:pivotFmt>
      <c:pivotFmt>
        <c:idx val="19"/>
        <c:spPr>
          <a:solidFill>
            <a:schemeClr val="accent5">
              <a:lumMod val="50000"/>
            </a:schemeClr>
          </a:solidFill>
          <a:ln w="19050">
            <a:solidFill>
              <a:schemeClr val="lt1"/>
            </a:solidFill>
          </a:ln>
          <a:effectLst/>
        </c:spPr>
      </c:pivotFmt>
      <c:pivotFmt>
        <c:idx val="20"/>
        <c:spPr>
          <a:solidFill>
            <a:schemeClr val="accent6"/>
          </a:solidFill>
          <a:ln w="19050">
            <a:solidFill>
              <a:schemeClr val="lt1"/>
            </a:solidFill>
          </a:ln>
          <a:effectLst/>
        </c:spPr>
      </c:pivotFmt>
      <c:pivotFmt>
        <c:idx val="2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w="19050">
            <a:solidFill>
              <a:schemeClr val="lt1"/>
            </a:solidFill>
          </a:ln>
          <a:effectLst/>
        </c:spPr>
      </c:pivotFmt>
      <c:pivotFmt>
        <c:idx val="23"/>
        <c:spPr>
          <a:solidFill>
            <a:schemeClr val="accent5">
              <a:lumMod val="50000"/>
            </a:schemeClr>
          </a:solidFill>
          <a:ln w="19050">
            <a:solidFill>
              <a:schemeClr val="lt1"/>
            </a:solidFill>
          </a:ln>
          <a:effectLst/>
        </c:spPr>
      </c:pivotFmt>
      <c:pivotFmt>
        <c:idx val="24"/>
        <c:spPr>
          <a:solidFill>
            <a:schemeClr val="accent6"/>
          </a:solidFill>
          <a:ln w="19050">
            <a:solidFill>
              <a:schemeClr val="lt1"/>
            </a:solidFill>
          </a:ln>
          <a:effectLst/>
        </c:spPr>
      </c:pivotFmt>
    </c:pivotFmts>
    <c:plotArea>
      <c:layout>
        <c:manualLayout>
          <c:layoutTarget val="inner"/>
          <c:xMode val="edge"/>
          <c:yMode val="edge"/>
          <c:x val="7.8997830365396329E-2"/>
          <c:y val="0.2473556916496549"/>
          <c:w val="0.49700689235844531"/>
          <c:h val="0.68844677748614758"/>
        </c:manualLayout>
      </c:layout>
      <c:doughnutChart>
        <c:varyColors val="1"/>
        <c:ser>
          <c:idx val="0"/>
          <c:order val="0"/>
          <c:tx>
            <c:strRef>
              <c:f>Sheet11!$E$3</c:f>
              <c:strCache>
                <c:ptCount val="1"/>
                <c:pt idx="0">
                  <c:v>Total</c:v>
                </c:pt>
              </c:strCache>
            </c:strRef>
          </c:tx>
          <c:spPr>
            <a:solidFill>
              <a:schemeClr val="accent6"/>
            </a:solidFill>
          </c:spPr>
          <c:dPt>
            <c:idx val="0"/>
            <c:bubble3D val="0"/>
            <c:spPr>
              <a:solidFill>
                <a:srgbClr val="7030A0"/>
              </a:solidFill>
              <a:ln w="19050">
                <a:solidFill>
                  <a:schemeClr val="lt1"/>
                </a:solidFill>
              </a:ln>
              <a:effectLst/>
            </c:spPr>
            <c:extLst>
              <c:ext xmlns:c16="http://schemas.microsoft.com/office/drawing/2014/chart" uri="{C3380CC4-5D6E-409C-BE32-E72D297353CC}">
                <c16:uniqueId val="{00000001-5E67-4FAC-A28C-B13EAF780567}"/>
              </c:ext>
            </c:extLst>
          </c:dPt>
          <c:dPt>
            <c:idx val="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3-5E67-4FAC-A28C-B13EAF780567}"/>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5E67-4FAC-A28C-B13EAF7805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Sheet11!$D$4:$D$7</c:f>
              <c:strCache>
                <c:ptCount val="3"/>
                <c:pt idx="0">
                  <c:v>CONSUMER</c:v>
                </c:pt>
                <c:pt idx="1">
                  <c:v>CORPORATE</c:v>
                </c:pt>
                <c:pt idx="2">
                  <c:v>HOME OFFICE</c:v>
                </c:pt>
              </c:strCache>
            </c:strRef>
          </c:cat>
          <c:val>
            <c:numRef>
              <c:f>Sheet11!$E$4:$E$7</c:f>
              <c:numCache>
                <c:formatCode>General</c:formatCode>
                <c:ptCount val="3"/>
                <c:pt idx="0">
                  <c:v>37197.899999999994</c:v>
                </c:pt>
                <c:pt idx="1">
                  <c:v>9746.1999999999989</c:v>
                </c:pt>
                <c:pt idx="2">
                  <c:v>8469.1</c:v>
                </c:pt>
              </c:numCache>
            </c:numRef>
          </c:val>
          <c:extLst>
            <c:ext xmlns:c16="http://schemas.microsoft.com/office/drawing/2014/chart" uri="{C3380CC4-5D6E-409C-BE32-E72D297353CC}">
              <c16:uniqueId val="{00000006-5E67-4FAC-A28C-B13EAF78056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r>
              <a:rPr lang="en-US" sz="1100">
                <a:solidFill>
                  <a:schemeClr val="tx1"/>
                </a:solidFill>
                <a:latin typeface="Cambria" panose="02040503050406030204" pitchFamily="18" charset="0"/>
              </a:rPr>
              <a:t>SALES BY REGION</a:t>
            </a:r>
          </a:p>
        </c:rich>
      </c:tx>
      <c:layout>
        <c:manualLayout>
          <c:xMode val="edge"/>
          <c:yMode val="edge"/>
          <c:x val="0.32748277893834699"/>
          <c:y val="0.1271176330231448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mbria" panose="020405030504060302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C00000"/>
          </a:solidFill>
          <a:ln w="19050">
            <a:solidFill>
              <a:schemeClr val="lt1"/>
            </a:solidFill>
          </a:ln>
          <a:effectLst/>
        </c:spPr>
      </c:pivotFmt>
      <c:pivotFmt>
        <c:idx val="18"/>
        <c:spPr>
          <a:solidFill>
            <a:schemeClr val="accent4">
              <a:lumMod val="50000"/>
            </a:schemeClr>
          </a:solidFill>
          <a:ln w="19050">
            <a:solidFill>
              <a:schemeClr val="lt1"/>
            </a:solidFill>
          </a:ln>
          <a:effectLst/>
        </c:spPr>
      </c:pivotFmt>
      <c:pivotFmt>
        <c:idx val="19"/>
        <c:spPr>
          <a:solidFill>
            <a:srgbClr val="0070C0"/>
          </a:solidFill>
          <a:ln w="19050">
            <a:solidFill>
              <a:schemeClr val="lt1"/>
            </a:solidFill>
          </a:ln>
          <a:effectLst/>
        </c:spPr>
      </c:pivotFmt>
      <c:pivotFmt>
        <c:idx val="20"/>
        <c:spPr>
          <a:solidFill>
            <a:schemeClr val="accent6">
              <a:lumMod val="75000"/>
            </a:schemeClr>
          </a:solidFill>
          <a:ln w="19050">
            <a:solidFill>
              <a:schemeClr val="lt1"/>
            </a:solidFill>
          </a:ln>
          <a:effectLst/>
        </c:spPr>
      </c:pivotFmt>
      <c:pivotFmt>
        <c:idx val="21"/>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C00000"/>
          </a:solidFill>
          <a:ln w="19050">
            <a:solidFill>
              <a:schemeClr val="lt1"/>
            </a:solidFill>
          </a:ln>
          <a:effectLst/>
        </c:spPr>
      </c:pivotFmt>
      <c:pivotFmt>
        <c:idx val="23"/>
        <c:spPr>
          <a:solidFill>
            <a:schemeClr val="accent4">
              <a:lumMod val="50000"/>
            </a:schemeClr>
          </a:solidFill>
          <a:ln w="19050">
            <a:solidFill>
              <a:schemeClr val="lt1"/>
            </a:solidFill>
          </a:ln>
          <a:effectLst/>
        </c:spPr>
      </c:pivotFmt>
      <c:pivotFmt>
        <c:idx val="24"/>
        <c:spPr>
          <a:solidFill>
            <a:srgbClr val="0070C0"/>
          </a:solidFill>
          <a:ln w="19050">
            <a:solidFill>
              <a:schemeClr val="lt1"/>
            </a:solidFill>
          </a:ln>
          <a:effectLst/>
        </c:spPr>
      </c:pivotFmt>
      <c:pivotFmt>
        <c:idx val="25"/>
        <c:spPr>
          <a:solidFill>
            <a:schemeClr val="accent6">
              <a:lumMod val="75000"/>
            </a:schemeClr>
          </a:solidFill>
          <a:ln w="19050">
            <a:solidFill>
              <a:schemeClr val="lt1"/>
            </a:solidFill>
          </a:ln>
          <a:effectLst/>
        </c:spPr>
      </c:pivotFmt>
      <c:pivotFmt>
        <c:idx val="26"/>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C00000"/>
          </a:solidFill>
          <a:ln w="19050">
            <a:solidFill>
              <a:schemeClr val="lt1"/>
            </a:solidFill>
          </a:ln>
          <a:effectLst/>
        </c:spPr>
      </c:pivotFmt>
      <c:pivotFmt>
        <c:idx val="28"/>
        <c:spPr>
          <a:solidFill>
            <a:schemeClr val="accent4">
              <a:lumMod val="50000"/>
            </a:schemeClr>
          </a:solidFill>
          <a:ln w="19050">
            <a:solidFill>
              <a:schemeClr val="lt1"/>
            </a:solidFill>
          </a:ln>
          <a:effectLst/>
        </c:spPr>
      </c:pivotFmt>
      <c:pivotFmt>
        <c:idx val="29"/>
        <c:spPr>
          <a:solidFill>
            <a:srgbClr val="0070C0"/>
          </a:solidFill>
          <a:ln w="19050">
            <a:solidFill>
              <a:schemeClr val="lt1"/>
            </a:solidFill>
          </a:ln>
          <a:effectLst/>
        </c:spPr>
      </c:pivotFmt>
      <c:pivotFmt>
        <c:idx val="30"/>
        <c:spPr>
          <a:solidFill>
            <a:schemeClr val="accent6">
              <a:lumMod val="75000"/>
            </a:schemeClr>
          </a:solidFill>
          <a:ln w="19050">
            <a:solidFill>
              <a:schemeClr val="lt1"/>
            </a:solidFill>
          </a:ln>
          <a:effectLst/>
        </c:spPr>
      </c:pivotFmt>
    </c:pivotFmts>
    <c:plotArea>
      <c:layout/>
      <c:pieChart>
        <c:varyColors val="1"/>
        <c:ser>
          <c:idx val="0"/>
          <c:order val="0"/>
          <c:tx>
            <c:strRef>
              <c:f>Sheet11!$H$3</c:f>
              <c:strCache>
                <c:ptCount val="1"/>
                <c:pt idx="0">
                  <c:v>Total</c:v>
                </c:pt>
              </c:strCache>
            </c:strRef>
          </c:tx>
          <c:spPr>
            <a:solidFill>
              <a:srgbClr val="0070C0"/>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9138-4C76-A70F-5C42E18107F5}"/>
              </c:ext>
            </c:extLst>
          </c:dPt>
          <c:dPt>
            <c:idx val="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3-9138-4C76-A70F-5C42E18107F5}"/>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9138-4C76-A70F-5C42E18107F5}"/>
              </c:ext>
            </c:extLst>
          </c:dPt>
          <c:dPt>
            <c:idx val="3"/>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7-9138-4C76-A70F-5C42E18107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Sheet11!$G$4:$G$8</c:f>
              <c:strCache>
                <c:ptCount val="4"/>
                <c:pt idx="0">
                  <c:v>EAST</c:v>
                </c:pt>
                <c:pt idx="1">
                  <c:v>NORTH</c:v>
                </c:pt>
                <c:pt idx="2">
                  <c:v>SOUTH</c:v>
                </c:pt>
                <c:pt idx="3">
                  <c:v>WEST</c:v>
                </c:pt>
              </c:strCache>
            </c:strRef>
          </c:cat>
          <c:val>
            <c:numRef>
              <c:f>Sheet11!$H$4:$H$8</c:f>
              <c:numCache>
                <c:formatCode>General</c:formatCode>
                <c:ptCount val="4"/>
                <c:pt idx="0">
                  <c:v>9921.0999999999985</c:v>
                </c:pt>
                <c:pt idx="1">
                  <c:v>16253</c:v>
                </c:pt>
                <c:pt idx="2">
                  <c:v>13115.5</c:v>
                </c:pt>
                <c:pt idx="3">
                  <c:v>16123.600000000002</c:v>
                </c:pt>
              </c:numCache>
            </c:numRef>
          </c:val>
          <c:extLst>
            <c:ext xmlns:c16="http://schemas.microsoft.com/office/drawing/2014/chart" uri="{C3380CC4-5D6E-409C-BE32-E72D297353CC}">
              <c16:uniqueId val="{00000008-9138-4C76-A70F-5C42E18107F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2.xlsm]Sheet11!PivotTable1</c:name>
    <c:fmtId val="1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SALES</a:t>
            </a:r>
            <a:r>
              <a:rPr lang="en-US" baseline="0">
                <a:solidFill>
                  <a:schemeClr val="tx1"/>
                </a:solidFill>
              </a:rPr>
              <a:t> BY CITY</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4A36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A4A36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pivotFmt>
      <c:pivotFmt>
        <c:idx val="6"/>
        <c:spPr>
          <a:solidFill>
            <a:schemeClr val="accent2">
              <a:lumMod val="75000"/>
            </a:schemeClr>
          </a:solidFill>
          <a:ln>
            <a:noFill/>
          </a:ln>
          <a:effectLst/>
        </c:spPr>
      </c:pivotFmt>
    </c:pivotFmts>
    <c:plotArea>
      <c:layout>
        <c:manualLayout>
          <c:layoutTarget val="inner"/>
          <c:xMode val="edge"/>
          <c:yMode val="edge"/>
          <c:x val="0.15765462808835357"/>
          <c:y val="0.24754300759933667"/>
          <c:w val="0.72744672153001189"/>
          <c:h val="0.45856226671922939"/>
        </c:manualLayout>
      </c:layout>
      <c:barChart>
        <c:barDir val="col"/>
        <c:grouping val="clustered"/>
        <c:varyColors val="0"/>
        <c:ser>
          <c:idx val="0"/>
          <c:order val="0"/>
          <c:tx>
            <c:strRef>
              <c:f>Sheet11!$K$11</c:f>
              <c:strCache>
                <c:ptCount val="1"/>
                <c:pt idx="0">
                  <c:v>Total</c:v>
                </c:pt>
              </c:strCache>
            </c:strRef>
          </c:tx>
          <c:spPr>
            <a:solidFill>
              <a:schemeClr val="accent2">
                <a:lumMod val="75000"/>
              </a:schemeClr>
            </a:solidFill>
            <a:ln>
              <a:noFill/>
            </a:ln>
            <a:effectLst/>
          </c:spPr>
          <c:invertIfNegative val="0"/>
          <c:dPt>
            <c:idx val="0"/>
            <c:invertIfNegative val="0"/>
            <c:bubble3D val="0"/>
            <c:extLst>
              <c:ext xmlns:c16="http://schemas.microsoft.com/office/drawing/2014/chart" uri="{C3380CC4-5D6E-409C-BE32-E72D297353CC}">
                <c16:uniqueId val="{00000000-34BB-42FE-8549-4937FB6970E4}"/>
              </c:ext>
            </c:extLst>
          </c:dPt>
          <c:dPt>
            <c:idx val="3"/>
            <c:invertIfNegative val="0"/>
            <c:bubble3D val="0"/>
            <c:extLst>
              <c:ext xmlns:c16="http://schemas.microsoft.com/office/drawing/2014/chart" uri="{C3380CC4-5D6E-409C-BE32-E72D297353CC}">
                <c16:uniqueId val="{00000001-34BB-42FE-8549-4937FB6970E4}"/>
              </c:ext>
            </c:extLst>
          </c:dPt>
          <c:cat>
            <c:strRef>
              <c:f>Sheet11!$J$12:$J$55</c:f>
              <c:strCache>
                <c:ptCount val="43"/>
                <c:pt idx="0">
                  <c:v>AGRA</c:v>
                </c:pt>
                <c:pt idx="1">
                  <c:v>AHMEDABAD</c:v>
                </c:pt>
                <c:pt idx="2">
                  <c:v>ALIGARH</c:v>
                </c:pt>
                <c:pt idx="3">
                  <c:v>BANGALORE</c:v>
                </c:pt>
                <c:pt idx="4">
                  <c:v>BHILAI</c:v>
                </c:pt>
                <c:pt idx="5">
                  <c:v>BHOPAL</c:v>
                </c:pt>
                <c:pt idx="6">
                  <c:v>BILASPUR</c:v>
                </c:pt>
                <c:pt idx="7">
                  <c:v>CHANDIGARH</c:v>
                </c:pt>
                <c:pt idx="8">
                  <c:v>CHENNAI</c:v>
                </c:pt>
                <c:pt idx="9">
                  <c:v>COIMBATORE</c:v>
                </c:pt>
                <c:pt idx="10">
                  <c:v>DELHI</c:v>
                </c:pt>
                <c:pt idx="11">
                  <c:v>GUWAHATI</c:v>
                </c:pt>
                <c:pt idx="12">
                  <c:v>HYDERABAD</c:v>
                </c:pt>
                <c:pt idx="13">
                  <c:v>INDORE</c:v>
                </c:pt>
                <c:pt idx="14">
                  <c:v>JAIPUR</c:v>
                </c:pt>
                <c:pt idx="15">
                  <c:v>JODHPUR</c:v>
                </c:pt>
                <c:pt idx="16">
                  <c:v>KAKINADA</c:v>
                </c:pt>
                <c:pt idx="17">
                  <c:v>KANPUR</c:v>
                </c:pt>
                <c:pt idx="18">
                  <c:v>KOLKATA</c:v>
                </c:pt>
                <c:pt idx="19">
                  <c:v>LUCKNOW</c:v>
                </c:pt>
                <c:pt idx="20">
                  <c:v>MADURAI</c:v>
                </c:pt>
                <c:pt idx="21">
                  <c:v>MANGALORE</c:v>
                </c:pt>
                <c:pt idx="22">
                  <c:v>MEERUT</c:v>
                </c:pt>
                <c:pt idx="23">
                  <c:v>MUMBAI</c:v>
                </c:pt>
                <c:pt idx="24">
                  <c:v>MYSORE</c:v>
                </c:pt>
                <c:pt idx="25">
                  <c:v>NAGPUR</c:v>
                </c:pt>
                <c:pt idx="26">
                  <c:v>NASHIK</c:v>
                </c:pt>
                <c:pt idx="27">
                  <c:v>NOIDA</c:v>
                </c:pt>
                <c:pt idx="28">
                  <c:v>PATNA</c:v>
                </c:pt>
                <c:pt idx="29">
                  <c:v>PUNE</c:v>
                </c:pt>
                <c:pt idx="30">
                  <c:v>RAIKOT</c:v>
                </c:pt>
                <c:pt idx="31">
                  <c:v>RAJKOT</c:v>
                </c:pt>
                <c:pt idx="32">
                  <c:v>RANCHI</c:v>
                </c:pt>
                <c:pt idx="33">
                  <c:v>SOLAPUR</c:v>
                </c:pt>
                <c:pt idx="34">
                  <c:v>SRINAGAR</c:v>
                </c:pt>
                <c:pt idx="35">
                  <c:v>SURAT</c:v>
                </c:pt>
                <c:pt idx="36">
                  <c:v>TGHANE</c:v>
                </c:pt>
                <c:pt idx="37">
                  <c:v>THANE</c:v>
                </c:pt>
                <c:pt idx="38">
                  <c:v>UDAIPUR</c:v>
                </c:pt>
                <c:pt idx="39">
                  <c:v>VADADORA</c:v>
                </c:pt>
                <c:pt idx="40">
                  <c:v>VADODARA</c:v>
                </c:pt>
                <c:pt idx="41">
                  <c:v>VARANASI</c:v>
                </c:pt>
                <c:pt idx="42">
                  <c:v>VISAKHA PATTANAM</c:v>
                </c:pt>
              </c:strCache>
            </c:strRef>
          </c:cat>
          <c:val>
            <c:numRef>
              <c:f>Sheet11!$K$12:$K$55</c:f>
              <c:numCache>
                <c:formatCode>General</c:formatCode>
                <c:ptCount val="43"/>
                <c:pt idx="0">
                  <c:v>422.79999999999995</c:v>
                </c:pt>
                <c:pt idx="1">
                  <c:v>160</c:v>
                </c:pt>
                <c:pt idx="2">
                  <c:v>400</c:v>
                </c:pt>
                <c:pt idx="3">
                  <c:v>1596</c:v>
                </c:pt>
                <c:pt idx="4">
                  <c:v>1236</c:v>
                </c:pt>
                <c:pt idx="5">
                  <c:v>1628</c:v>
                </c:pt>
                <c:pt idx="6">
                  <c:v>38.4</c:v>
                </c:pt>
                <c:pt idx="7">
                  <c:v>240</c:v>
                </c:pt>
                <c:pt idx="8">
                  <c:v>2459.4</c:v>
                </c:pt>
                <c:pt idx="9">
                  <c:v>4200</c:v>
                </c:pt>
                <c:pt idx="10">
                  <c:v>1400</c:v>
                </c:pt>
                <c:pt idx="11">
                  <c:v>425.7</c:v>
                </c:pt>
                <c:pt idx="12">
                  <c:v>142.80000000000001</c:v>
                </c:pt>
                <c:pt idx="13">
                  <c:v>1503</c:v>
                </c:pt>
                <c:pt idx="14">
                  <c:v>1608</c:v>
                </c:pt>
                <c:pt idx="15">
                  <c:v>1898.1000000000001</c:v>
                </c:pt>
                <c:pt idx="16">
                  <c:v>234</c:v>
                </c:pt>
                <c:pt idx="17">
                  <c:v>756.90000000000009</c:v>
                </c:pt>
                <c:pt idx="18">
                  <c:v>2084.6</c:v>
                </c:pt>
                <c:pt idx="19">
                  <c:v>240</c:v>
                </c:pt>
                <c:pt idx="20">
                  <c:v>2356</c:v>
                </c:pt>
                <c:pt idx="21">
                  <c:v>470.7</c:v>
                </c:pt>
                <c:pt idx="22">
                  <c:v>1720</c:v>
                </c:pt>
                <c:pt idx="23">
                  <c:v>2452.6</c:v>
                </c:pt>
                <c:pt idx="24">
                  <c:v>400</c:v>
                </c:pt>
                <c:pt idx="25">
                  <c:v>1313</c:v>
                </c:pt>
                <c:pt idx="26">
                  <c:v>80</c:v>
                </c:pt>
                <c:pt idx="27">
                  <c:v>7815</c:v>
                </c:pt>
                <c:pt idx="28">
                  <c:v>1020</c:v>
                </c:pt>
                <c:pt idx="29">
                  <c:v>4808.3999999999996</c:v>
                </c:pt>
                <c:pt idx="30">
                  <c:v>216</c:v>
                </c:pt>
                <c:pt idx="31">
                  <c:v>3000</c:v>
                </c:pt>
                <c:pt idx="32">
                  <c:v>704</c:v>
                </c:pt>
                <c:pt idx="33">
                  <c:v>200</c:v>
                </c:pt>
                <c:pt idx="34">
                  <c:v>93.6</c:v>
                </c:pt>
                <c:pt idx="35">
                  <c:v>603</c:v>
                </c:pt>
                <c:pt idx="36">
                  <c:v>48</c:v>
                </c:pt>
                <c:pt idx="37">
                  <c:v>256</c:v>
                </c:pt>
                <c:pt idx="38">
                  <c:v>1802</c:v>
                </c:pt>
                <c:pt idx="39">
                  <c:v>240</c:v>
                </c:pt>
                <c:pt idx="40">
                  <c:v>140</c:v>
                </c:pt>
                <c:pt idx="41">
                  <c:v>2595.1999999999998</c:v>
                </c:pt>
                <c:pt idx="42">
                  <c:v>406</c:v>
                </c:pt>
              </c:numCache>
            </c:numRef>
          </c:val>
          <c:extLst>
            <c:ext xmlns:c16="http://schemas.microsoft.com/office/drawing/2014/chart" uri="{C3380CC4-5D6E-409C-BE32-E72D297353CC}">
              <c16:uniqueId val="{00000000-7091-4574-8439-C35B356ACA72}"/>
            </c:ext>
          </c:extLst>
        </c:ser>
        <c:dLbls>
          <c:showLegendKey val="0"/>
          <c:showVal val="0"/>
          <c:showCatName val="0"/>
          <c:showSerName val="0"/>
          <c:showPercent val="0"/>
          <c:showBubbleSize val="0"/>
        </c:dLbls>
        <c:gapWidth val="150"/>
        <c:axId val="1112579487"/>
        <c:axId val="1112579903"/>
      </c:barChart>
      <c:catAx>
        <c:axId val="11125794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12579903"/>
        <c:crosses val="autoZero"/>
        <c:auto val="1"/>
        <c:lblAlgn val="ctr"/>
        <c:lblOffset val="100"/>
        <c:noMultiLvlLbl val="0"/>
      </c:catAx>
      <c:valAx>
        <c:axId val="1112579903"/>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12579487"/>
        <c:crosses val="autoZero"/>
        <c:crossBetween val="between"/>
      </c:valAx>
      <c:spPr>
        <a:solidFill>
          <a:schemeClr val="bg1"/>
        </a:soli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2"/>
    </a:solidFill>
    <a:ln w="15875" cap="flat" cmpd="sng" algn="ctr">
      <a:solidFill>
        <a:srgbClr val="A4A36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2.xlsm]Sheet11!PivotTable9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tx1"/>
                </a:solidFill>
                <a:latin typeface="Cambria" panose="02040503050406030204" pitchFamily="18" charset="0"/>
              </a:rPr>
              <a:t>SALES</a:t>
            </a:r>
            <a:r>
              <a:rPr lang="en-US" sz="1200" baseline="0">
                <a:solidFill>
                  <a:schemeClr val="tx1"/>
                </a:solidFill>
                <a:latin typeface="Cambria" panose="02040503050406030204" pitchFamily="18" charset="0"/>
              </a:rPr>
              <a:t> BY MONTH</a:t>
            </a:r>
            <a:endParaRPr lang="en-US" sz="1200">
              <a:solidFill>
                <a:schemeClr val="tx1"/>
              </a:solidFill>
              <a:latin typeface="Cambria" panose="02040503050406030204" pitchFamily="18" charset="0"/>
            </a:endParaRPr>
          </a:p>
        </c:rich>
      </c:tx>
      <c:layout>
        <c:manualLayout>
          <c:xMode val="edge"/>
          <c:yMode val="edge"/>
          <c:x val="0.44909077274431602"/>
          <c:y val="0.1035773306114513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70C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a:sp3d/>
        </c:spPr>
      </c:pivotFmt>
      <c:pivotFmt>
        <c:idx val="6"/>
        <c:spPr>
          <a:solidFill>
            <a:schemeClr val="accent6">
              <a:lumMod val="75000"/>
            </a:schemeClr>
          </a:solidFill>
          <a:ln>
            <a:noFill/>
          </a:ln>
          <a:effectLst/>
          <a:sp3d/>
        </c:spPr>
      </c:pivotFmt>
      <c:pivotFmt>
        <c:idx val="7"/>
        <c:spPr>
          <a:solidFill>
            <a:schemeClr val="accent4">
              <a:lumMod val="75000"/>
            </a:schemeClr>
          </a:solidFill>
          <a:ln>
            <a:noFill/>
          </a:ln>
          <a:effectLst/>
          <a:sp3d/>
        </c:spPr>
      </c:pivotFmt>
      <c:pivotFmt>
        <c:idx val="8"/>
        <c:spPr>
          <a:solidFill>
            <a:srgbClr val="7030A0"/>
          </a:solidFill>
          <a:ln>
            <a:noFill/>
          </a:ln>
          <a:effectLst/>
          <a:sp3d/>
        </c:spPr>
      </c:pivotFmt>
      <c:pivotFmt>
        <c:idx val="9"/>
        <c:spPr>
          <a:solidFill>
            <a:srgbClr val="FF0000"/>
          </a:solidFill>
          <a:ln>
            <a:noFill/>
          </a:ln>
          <a:effectLst/>
          <a:sp3d/>
        </c:spPr>
      </c:pivotFmt>
      <c:pivotFmt>
        <c:idx val="10"/>
        <c:spPr>
          <a:solidFill>
            <a:srgbClr val="002060"/>
          </a:solidFill>
          <a:ln>
            <a:noFill/>
          </a:ln>
          <a:effectLst/>
          <a:sp3d/>
        </c:spPr>
      </c:pivotFmt>
      <c:pivotFmt>
        <c:idx val="11"/>
        <c:spPr>
          <a:solidFill>
            <a:srgbClr val="0070C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a:sp3d/>
        </c:spPr>
      </c:pivotFmt>
      <c:pivotFmt>
        <c:idx val="13"/>
        <c:spPr>
          <a:solidFill>
            <a:srgbClr val="7030A0"/>
          </a:solidFill>
          <a:ln>
            <a:noFill/>
          </a:ln>
          <a:effectLst/>
          <a:sp3d/>
        </c:spPr>
      </c:pivotFmt>
      <c:pivotFmt>
        <c:idx val="14"/>
        <c:spPr>
          <a:solidFill>
            <a:schemeClr val="accent4">
              <a:lumMod val="75000"/>
            </a:schemeClr>
          </a:solidFill>
          <a:ln>
            <a:noFill/>
          </a:ln>
          <a:effectLst/>
          <a:sp3d/>
        </c:spPr>
      </c:pivotFmt>
      <c:pivotFmt>
        <c:idx val="15"/>
        <c:spPr>
          <a:solidFill>
            <a:schemeClr val="accent2">
              <a:lumMod val="75000"/>
            </a:schemeClr>
          </a:solidFill>
          <a:ln>
            <a:noFill/>
          </a:ln>
          <a:effectLst/>
          <a:sp3d/>
        </c:spPr>
      </c:pivotFmt>
      <c:pivotFmt>
        <c:idx val="16"/>
        <c:spPr>
          <a:solidFill>
            <a:schemeClr val="accent6">
              <a:lumMod val="75000"/>
            </a:schemeClr>
          </a:solidFill>
          <a:ln>
            <a:noFill/>
          </a:ln>
          <a:effectLst/>
          <a:sp3d/>
        </c:spPr>
      </c:pivotFmt>
      <c:pivotFmt>
        <c:idx val="17"/>
        <c:spPr>
          <a:solidFill>
            <a:srgbClr val="002060"/>
          </a:solidFill>
          <a:ln>
            <a:noFill/>
          </a:ln>
          <a:effectLst/>
          <a:sp3d/>
        </c:spPr>
      </c:pivotFmt>
      <c:pivotFmt>
        <c:idx val="18"/>
        <c:spPr>
          <a:solidFill>
            <a:srgbClr val="0070C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FF0000"/>
          </a:solidFill>
          <a:ln>
            <a:noFill/>
          </a:ln>
          <a:effectLst/>
          <a:sp3d/>
        </c:spPr>
      </c:pivotFmt>
      <c:pivotFmt>
        <c:idx val="20"/>
        <c:spPr>
          <a:solidFill>
            <a:srgbClr val="7030A0"/>
          </a:solidFill>
          <a:ln>
            <a:noFill/>
          </a:ln>
          <a:effectLst/>
          <a:sp3d/>
        </c:spPr>
      </c:pivotFmt>
      <c:pivotFmt>
        <c:idx val="21"/>
        <c:spPr>
          <a:solidFill>
            <a:schemeClr val="accent4">
              <a:lumMod val="75000"/>
            </a:schemeClr>
          </a:solidFill>
          <a:ln>
            <a:noFill/>
          </a:ln>
          <a:effectLst/>
          <a:sp3d/>
        </c:spPr>
      </c:pivotFmt>
      <c:pivotFmt>
        <c:idx val="22"/>
        <c:spPr>
          <a:solidFill>
            <a:schemeClr val="accent2">
              <a:lumMod val="75000"/>
            </a:schemeClr>
          </a:solidFill>
          <a:ln>
            <a:noFill/>
          </a:ln>
          <a:effectLst/>
          <a:sp3d/>
        </c:spPr>
      </c:pivotFmt>
      <c:pivotFmt>
        <c:idx val="23"/>
        <c:spPr>
          <a:solidFill>
            <a:schemeClr val="accent6">
              <a:lumMod val="75000"/>
            </a:schemeClr>
          </a:solidFill>
          <a:ln>
            <a:noFill/>
          </a:ln>
          <a:effectLst/>
          <a:sp3d/>
        </c:spPr>
      </c:pivotFmt>
      <c:pivotFmt>
        <c:idx val="24"/>
        <c:spPr>
          <a:solidFill>
            <a:srgbClr val="002060"/>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7834857006510549"/>
          <c:y val="0.31400942937688336"/>
          <c:w val="0.6460237270341207"/>
          <c:h val="0.38365850102070576"/>
        </c:manualLayout>
      </c:layout>
      <c:bar3DChart>
        <c:barDir val="col"/>
        <c:grouping val="clustered"/>
        <c:varyColors val="0"/>
        <c:ser>
          <c:idx val="0"/>
          <c:order val="0"/>
          <c:tx>
            <c:strRef>
              <c:f>Sheet11!$H$11</c:f>
              <c:strCache>
                <c:ptCount val="1"/>
                <c:pt idx="0">
                  <c:v>Total</c:v>
                </c:pt>
              </c:strCache>
            </c:strRef>
          </c:tx>
          <c:spPr>
            <a:solidFill>
              <a:srgbClr val="0070C0"/>
            </a:solidFill>
            <a:ln>
              <a:noFill/>
            </a:ln>
            <a:effectLst/>
            <a:sp3d/>
          </c:spPr>
          <c:invertIfNegative val="0"/>
          <c:dPt>
            <c:idx val="0"/>
            <c:invertIfNegative val="0"/>
            <c:bubble3D val="0"/>
            <c:spPr>
              <a:solidFill>
                <a:srgbClr val="FF0000"/>
              </a:solidFill>
              <a:ln>
                <a:noFill/>
              </a:ln>
              <a:effectLst/>
              <a:sp3d/>
            </c:spPr>
            <c:extLst>
              <c:ext xmlns:c16="http://schemas.microsoft.com/office/drawing/2014/chart" uri="{C3380CC4-5D6E-409C-BE32-E72D297353CC}">
                <c16:uniqueId val="{00000001-EAF2-4226-A9F3-B066029DE018}"/>
              </c:ext>
            </c:extLst>
          </c:dPt>
          <c:dPt>
            <c:idx val="1"/>
            <c:invertIfNegative val="0"/>
            <c:bubble3D val="0"/>
            <c:spPr>
              <a:solidFill>
                <a:srgbClr val="7030A0"/>
              </a:solidFill>
              <a:ln>
                <a:noFill/>
              </a:ln>
              <a:effectLst/>
              <a:sp3d/>
            </c:spPr>
            <c:extLst>
              <c:ext xmlns:c16="http://schemas.microsoft.com/office/drawing/2014/chart" uri="{C3380CC4-5D6E-409C-BE32-E72D297353CC}">
                <c16:uniqueId val="{00000003-EAF2-4226-A9F3-B066029DE018}"/>
              </c:ext>
            </c:extLst>
          </c:dPt>
          <c:dPt>
            <c:idx val="2"/>
            <c:invertIfNegative val="0"/>
            <c:bubble3D val="0"/>
            <c:spPr>
              <a:solidFill>
                <a:schemeClr val="accent4">
                  <a:lumMod val="75000"/>
                </a:schemeClr>
              </a:solidFill>
              <a:ln>
                <a:noFill/>
              </a:ln>
              <a:effectLst/>
              <a:sp3d/>
            </c:spPr>
            <c:extLst>
              <c:ext xmlns:c16="http://schemas.microsoft.com/office/drawing/2014/chart" uri="{C3380CC4-5D6E-409C-BE32-E72D297353CC}">
                <c16:uniqueId val="{00000005-EAF2-4226-A9F3-B066029DE018}"/>
              </c:ext>
            </c:extLst>
          </c:dPt>
          <c:dPt>
            <c:idx val="3"/>
            <c:invertIfNegative val="0"/>
            <c:bubble3D val="0"/>
            <c:spPr>
              <a:solidFill>
                <a:schemeClr val="accent2">
                  <a:lumMod val="75000"/>
                </a:schemeClr>
              </a:solidFill>
              <a:ln>
                <a:noFill/>
              </a:ln>
              <a:effectLst/>
              <a:sp3d/>
            </c:spPr>
            <c:extLst>
              <c:ext xmlns:c16="http://schemas.microsoft.com/office/drawing/2014/chart" uri="{C3380CC4-5D6E-409C-BE32-E72D297353CC}">
                <c16:uniqueId val="{00000007-EAF2-4226-A9F3-B066029DE018}"/>
              </c:ext>
            </c:extLst>
          </c:dPt>
          <c:dPt>
            <c:idx val="4"/>
            <c:invertIfNegative val="0"/>
            <c:bubble3D val="0"/>
            <c:spPr>
              <a:solidFill>
                <a:schemeClr val="accent6">
                  <a:lumMod val="75000"/>
                </a:schemeClr>
              </a:solidFill>
              <a:ln>
                <a:noFill/>
              </a:ln>
              <a:effectLst/>
              <a:sp3d/>
            </c:spPr>
            <c:extLst>
              <c:ext xmlns:c16="http://schemas.microsoft.com/office/drawing/2014/chart" uri="{C3380CC4-5D6E-409C-BE32-E72D297353CC}">
                <c16:uniqueId val="{00000009-EAF2-4226-A9F3-B066029DE018}"/>
              </c:ext>
            </c:extLst>
          </c:dPt>
          <c:dPt>
            <c:idx val="5"/>
            <c:invertIfNegative val="0"/>
            <c:bubble3D val="0"/>
            <c:spPr>
              <a:solidFill>
                <a:srgbClr val="002060"/>
              </a:solidFill>
              <a:ln>
                <a:noFill/>
              </a:ln>
              <a:effectLst/>
              <a:sp3d/>
            </c:spPr>
            <c:extLst>
              <c:ext xmlns:c16="http://schemas.microsoft.com/office/drawing/2014/chart" uri="{C3380CC4-5D6E-409C-BE32-E72D297353CC}">
                <c16:uniqueId val="{0000000B-EAF2-4226-A9F3-B066029DE018}"/>
              </c:ext>
            </c:extLst>
          </c:dPt>
          <c:cat>
            <c:strRef>
              <c:f>Sheet11!$G$12:$G$19</c:f>
              <c:strCache>
                <c:ptCount val="7"/>
                <c:pt idx="0">
                  <c:v>JAN</c:v>
                </c:pt>
                <c:pt idx="1">
                  <c:v>FEB</c:v>
                </c:pt>
                <c:pt idx="2">
                  <c:v>APRIL</c:v>
                </c:pt>
                <c:pt idx="3">
                  <c:v>MAY</c:v>
                </c:pt>
                <c:pt idx="4">
                  <c:v>JUNE</c:v>
                </c:pt>
                <c:pt idx="5">
                  <c:v>JULY</c:v>
                </c:pt>
                <c:pt idx="6">
                  <c:v>MAR </c:v>
                </c:pt>
              </c:strCache>
            </c:strRef>
          </c:cat>
          <c:val>
            <c:numRef>
              <c:f>Sheet11!$H$12:$H$19</c:f>
              <c:numCache>
                <c:formatCode>General</c:formatCode>
                <c:ptCount val="7"/>
                <c:pt idx="0">
                  <c:v>2070</c:v>
                </c:pt>
                <c:pt idx="1">
                  <c:v>1302.5</c:v>
                </c:pt>
                <c:pt idx="2">
                  <c:v>9768.7000000000007</c:v>
                </c:pt>
                <c:pt idx="3">
                  <c:v>11464.3</c:v>
                </c:pt>
                <c:pt idx="4">
                  <c:v>24146</c:v>
                </c:pt>
                <c:pt idx="5">
                  <c:v>3917.7</c:v>
                </c:pt>
                <c:pt idx="6">
                  <c:v>2744</c:v>
                </c:pt>
              </c:numCache>
            </c:numRef>
          </c:val>
          <c:extLst>
            <c:ext xmlns:c16="http://schemas.microsoft.com/office/drawing/2014/chart" uri="{C3380CC4-5D6E-409C-BE32-E72D297353CC}">
              <c16:uniqueId val="{0000000C-EAF2-4226-A9F3-B066029DE018}"/>
            </c:ext>
          </c:extLst>
        </c:ser>
        <c:dLbls>
          <c:showLegendKey val="0"/>
          <c:showVal val="0"/>
          <c:showCatName val="0"/>
          <c:showSerName val="0"/>
          <c:showPercent val="0"/>
          <c:showBubbleSize val="0"/>
        </c:dLbls>
        <c:gapWidth val="150"/>
        <c:shape val="box"/>
        <c:axId val="1144892031"/>
        <c:axId val="1144894943"/>
        <c:axId val="0"/>
      </c:bar3DChart>
      <c:catAx>
        <c:axId val="1144892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894943"/>
        <c:crosses val="autoZero"/>
        <c:auto val="1"/>
        <c:lblAlgn val="ctr"/>
        <c:lblOffset val="100"/>
        <c:noMultiLvlLbl val="0"/>
      </c:catAx>
      <c:valAx>
        <c:axId val="1144894943"/>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892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CF5239"/>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TA!A1"/><Relationship Id="rId4" Type="http://schemas.microsoft.com/office/2007/relationships/hdphoto" Target="../media/hdphoto1.wdp"/></Relationships>
</file>

<file path=xl/drawings/_rels/drawing4.xml.rels><?xml version="1.0" encoding="UTF-8" standalone="yes"?>
<Relationships xmlns="http://schemas.openxmlformats.org/package/2006/relationships"><Relationship Id="rId2" Type="http://schemas.openxmlformats.org/officeDocument/2006/relationships/hyperlink" Target="#START!A1"/><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8" Type="http://schemas.openxmlformats.org/officeDocument/2006/relationships/hyperlink" Target="#SEGMENT!A1"/><Relationship Id="rId13" Type="http://schemas.openxmlformats.org/officeDocument/2006/relationships/image" Target="../media/image4.png"/><Relationship Id="rId18" Type="http://schemas.microsoft.com/office/2007/relationships/hdphoto" Target="../media/hdphoto5.wdp"/><Relationship Id="rId26" Type="http://schemas.openxmlformats.org/officeDocument/2006/relationships/image" Target="../media/image9.png"/><Relationship Id="rId3" Type="http://schemas.openxmlformats.org/officeDocument/2006/relationships/chart" Target="../charts/chart9.xml"/><Relationship Id="rId21" Type="http://schemas.openxmlformats.org/officeDocument/2006/relationships/image" Target="../media/image7.png"/><Relationship Id="rId7" Type="http://schemas.openxmlformats.org/officeDocument/2006/relationships/hyperlink" Target="#GENDER!A1"/><Relationship Id="rId12" Type="http://schemas.openxmlformats.org/officeDocument/2006/relationships/chart" Target="../charts/chart13.xml"/><Relationship Id="rId17" Type="http://schemas.openxmlformats.org/officeDocument/2006/relationships/image" Target="../media/image6.png"/><Relationship Id="rId25" Type="http://schemas.openxmlformats.org/officeDocument/2006/relationships/hyperlink" Target="#DATA!A1"/><Relationship Id="rId2" Type="http://schemas.microsoft.com/office/2007/relationships/hdphoto" Target="../media/hdphoto2.wdp"/><Relationship Id="rId16" Type="http://schemas.microsoft.com/office/2007/relationships/hdphoto" Target="../media/hdphoto4.wdp"/><Relationship Id="rId20" Type="http://schemas.openxmlformats.org/officeDocument/2006/relationships/hyperlink" Target="#'TOP CUSTOMERS'!A1"/><Relationship Id="rId1" Type="http://schemas.openxmlformats.org/officeDocument/2006/relationships/image" Target="../media/image3.png"/><Relationship Id="rId6" Type="http://schemas.openxmlformats.org/officeDocument/2006/relationships/chart" Target="../charts/chart12.xml"/><Relationship Id="rId11" Type="http://schemas.openxmlformats.org/officeDocument/2006/relationships/hyperlink" Target="#MONTH!A1"/><Relationship Id="rId24" Type="http://schemas.openxmlformats.org/officeDocument/2006/relationships/hyperlink" Target="#STOCK!A1"/><Relationship Id="rId5" Type="http://schemas.openxmlformats.org/officeDocument/2006/relationships/chart" Target="../charts/chart11.xml"/><Relationship Id="rId15" Type="http://schemas.openxmlformats.org/officeDocument/2006/relationships/image" Target="../media/image5.png"/><Relationship Id="rId23" Type="http://schemas.openxmlformats.org/officeDocument/2006/relationships/image" Target="../media/image8.png"/><Relationship Id="rId10" Type="http://schemas.openxmlformats.org/officeDocument/2006/relationships/hyperlink" Target="#CITY!A1"/><Relationship Id="rId19" Type="http://schemas.openxmlformats.org/officeDocument/2006/relationships/hyperlink" Target="#'TOP PRODUCTS'!A1"/><Relationship Id="rId4" Type="http://schemas.openxmlformats.org/officeDocument/2006/relationships/chart" Target="../charts/chart10.xml"/><Relationship Id="rId9" Type="http://schemas.openxmlformats.org/officeDocument/2006/relationships/hyperlink" Target="#REGION!A1"/><Relationship Id="rId14" Type="http://schemas.microsoft.com/office/2007/relationships/hdphoto" Target="../media/hdphoto3.wdp"/><Relationship Id="rId22" Type="http://schemas.microsoft.com/office/2007/relationships/hdphoto" Target="../media/hdphoto6.wdp"/><Relationship Id="rId27" Type="http://schemas.microsoft.com/office/2007/relationships/hdphoto" Target="../media/hdphoto7.wdp"/></Relationships>
</file>

<file path=xl/drawings/_rels/drawing6.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66675</xdr:colOff>
      <xdr:row>2</xdr:row>
      <xdr:rowOff>9526</xdr:rowOff>
    </xdr:from>
    <xdr:to>
      <xdr:col>3</xdr:col>
      <xdr:colOff>352425</xdr:colOff>
      <xdr:row>10</xdr:row>
      <xdr:rowOff>142876</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438150</xdr:colOff>
      <xdr:row>1</xdr:row>
      <xdr:rowOff>66675</xdr:rowOff>
    </xdr:from>
    <xdr:to>
      <xdr:col>7</xdr:col>
      <xdr:colOff>85725</xdr:colOff>
      <xdr:row>9</xdr:row>
      <xdr:rowOff>152400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314325</xdr:colOff>
      <xdr:row>0</xdr:row>
      <xdr:rowOff>95250</xdr:rowOff>
    </xdr:from>
    <xdr:to>
      <xdr:col>12</xdr:col>
      <xdr:colOff>323850</xdr:colOff>
      <xdr:row>10</xdr:row>
      <xdr:rowOff>85725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361950</xdr:colOff>
      <xdr:row>10</xdr:row>
      <xdr:rowOff>114301</xdr:rowOff>
    </xdr:from>
    <xdr:to>
      <xdr:col>9</xdr:col>
      <xdr:colOff>400050</xdr:colOff>
      <xdr:row>20</xdr:row>
      <xdr:rowOff>152401</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352425</xdr:colOff>
      <xdr:row>11</xdr:row>
      <xdr:rowOff>28574</xdr:rowOff>
    </xdr:from>
    <xdr:to>
      <xdr:col>14</xdr:col>
      <xdr:colOff>333375</xdr:colOff>
      <xdr:row>21</xdr:row>
      <xdr:rowOff>76199</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142875</xdr:colOff>
      <xdr:row>11</xdr:row>
      <xdr:rowOff>57150</xdr:rowOff>
    </xdr:from>
    <xdr:to>
      <xdr:col>2</xdr:col>
      <xdr:colOff>247650</xdr:colOff>
      <xdr:row>24</xdr:row>
      <xdr:rowOff>104775</xdr:rowOff>
    </xdr:to>
    <mc:AlternateContent xmlns:mc="http://schemas.openxmlformats.org/markup-compatibility/2006" xmlns:a14="http://schemas.microsoft.com/office/drawing/2010/main">
      <mc:Choice Requires="a14">
        <xdr:graphicFrame macro="">
          <xdr:nvGraphicFramePr>
            <xdr:cNvPr id="10" name="MONTH 2">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42875" y="2152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0</xdr:colOff>
      <xdr:row>25</xdr:row>
      <xdr:rowOff>0</xdr:rowOff>
    </xdr:from>
    <xdr:to>
      <xdr:col>14</xdr:col>
      <xdr:colOff>0</xdr:colOff>
      <xdr:row>39</xdr:row>
      <xdr:rowOff>76200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309562</xdr:colOff>
      <xdr:row>0</xdr:row>
      <xdr:rowOff>0</xdr:rowOff>
    </xdr:from>
    <xdr:to>
      <xdr:col>5</xdr:col>
      <xdr:colOff>600075</xdr:colOff>
      <xdr:row>9</xdr:row>
      <xdr:rowOff>33338</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223837</xdr:colOff>
      <xdr:row>10</xdr:row>
      <xdr:rowOff>23812</xdr:rowOff>
    </xdr:from>
    <xdr:to>
      <xdr:col>8</xdr:col>
      <xdr:colOff>466725</xdr:colOff>
      <xdr:row>18</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257175</xdr:colOff>
      <xdr:row>4</xdr:row>
      <xdr:rowOff>95250</xdr:rowOff>
    </xdr:from>
    <xdr:to>
      <xdr:col>12</xdr:col>
      <xdr:colOff>257175</xdr:colOff>
      <xdr:row>17</xdr:row>
      <xdr:rowOff>142875</xdr:rowOff>
    </xdr:to>
    <mc:AlternateContent xmlns:mc="http://schemas.openxmlformats.org/markup-compatibility/2006" xmlns:a14="http://schemas.microsoft.com/office/drawing/2010/main">
      <mc:Choice Requires="a14">
        <xdr:graphicFrame macro="">
          <xdr:nvGraphicFramePr>
            <xdr:cNvPr id="4" name="CITY">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753225" y="857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xdr:colOff>
      <xdr:row>0</xdr:row>
      <xdr:rowOff>28575</xdr:rowOff>
    </xdr:from>
    <xdr:to>
      <xdr:col>15</xdr:col>
      <xdr:colOff>161926</xdr:colOff>
      <xdr:row>1</xdr:row>
      <xdr:rowOff>152400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2" y="28575"/>
          <a:ext cx="9305924" cy="314325"/>
        </a:xfrm>
        <a:prstGeom prst="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5">
                  <a:lumMod val="40000"/>
                  <a:lumOff val="60000"/>
                </a:schemeClr>
              </a:solidFill>
              <a:latin typeface="Cambria" panose="02040503050406030204" pitchFamily="18" charset="0"/>
            </a:rPr>
            <a:t>SALES</a:t>
          </a:r>
          <a:r>
            <a:rPr lang="en-US" sz="1400" b="1" baseline="0">
              <a:solidFill>
                <a:schemeClr val="accent5">
                  <a:lumMod val="40000"/>
                  <a:lumOff val="60000"/>
                </a:schemeClr>
              </a:solidFill>
              <a:latin typeface="Cambria" panose="02040503050406030204" pitchFamily="18" charset="0"/>
            </a:rPr>
            <a:t> DATA ANALYSIS</a:t>
          </a:r>
          <a:endParaRPr lang="en-US" sz="1400" b="1">
            <a:solidFill>
              <a:schemeClr val="accent5">
                <a:lumMod val="40000"/>
                <a:lumOff val="60000"/>
              </a:schemeClr>
            </a:solidFill>
            <a:latin typeface="Cambria" panose="02040503050406030204" pitchFamily="18" charset="0"/>
          </a:endParaRPr>
        </a:p>
      </xdr:txBody>
    </xdr:sp>
    <xdr:clientData/>
  </xdr:twoCellAnchor>
  <xdr:twoCellAnchor>
    <xdr:from>
      <xdr:col>0</xdr:col>
      <xdr:colOff>466725</xdr:colOff>
      <xdr:row>1</xdr:row>
      <xdr:rowOff>152400</xdr:rowOff>
    </xdr:from>
    <xdr:to>
      <xdr:col>14</xdr:col>
      <xdr:colOff>323851</xdr:colOff>
      <xdr:row>3</xdr:row>
      <xdr:rowOff>85725</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466725" y="342900"/>
          <a:ext cx="8391526" cy="314325"/>
        </a:xfrm>
        <a:prstGeom prst="rect">
          <a:avLst/>
        </a:prstGeom>
        <a:gradFill>
          <a:gsLst>
            <a:gs pos="0">
              <a:srgbClr val="A254DC"/>
            </a:gs>
            <a:gs pos="51000">
              <a:srgbClr val="A254DC"/>
            </a:gs>
            <a:gs pos="83000">
              <a:srgbClr val="7030A0"/>
            </a:gs>
            <a:gs pos="100000">
              <a:schemeClr val="accent1">
                <a:lumMod val="30000"/>
                <a:lumOff val="70000"/>
              </a:schemeClr>
            </a:gs>
          </a:gsLst>
          <a:lin ang="54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   </a:t>
          </a:r>
          <a:r>
            <a:rPr lang="en-US" sz="1200" b="1">
              <a:latin typeface="Cambria" panose="02040503050406030204" pitchFamily="18" charset="0"/>
            </a:rPr>
            <a:t>BUDGET SUPERMARKET</a:t>
          </a:r>
        </a:p>
      </xdr:txBody>
    </xdr:sp>
    <xdr:clientData/>
  </xdr:twoCellAnchor>
  <xdr:twoCellAnchor>
    <xdr:from>
      <xdr:col>5</xdr:col>
      <xdr:colOff>542925</xdr:colOff>
      <xdr:row>18</xdr:row>
      <xdr:rowOff>85725</xdr:rowOff>
    </xdr:from>
    <xdr:to>
      <xdr:col>8</xdr:col>
      <xdr:colOff>371475</xdr:colOff>
      <xdr:row>20</xdr:row>
      <xdr:rowOff>66675</xdr:rowOff>
    </xdr:to>
    <xdr:sp macro="" textlink="">
      <xdr:nvSpPr>
        <xdr:cNvPr id="9" name="Rectangle: Rounded Corners 8">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3590925" y="3514725"/>
          <a:ext cx="1657350" cy="361950"/>
        </a:xfrm>
        <a:prstGeom prst="roundRect">
          <a:avLst/>
        </a:prstGeom>
        <a:gradFill>
          <a:gsLst>
            <a:gs pos="0">
              <a:srgbClr val="00B0F0"/>
            </a:gs>
            <a:gs pos="40000">
              <a:schemeClr val="accent5">
                <a:lumMod val="75000"/>
              </a:schemeClr>
            </a:gs>
            <a:gs pos="83000">
              <a:schemeClr val="accent5">
                <a:lumMod val="50000"/>
              </a:schemeClr>
            </a:gs>
            <a:gs pos="100000">
              <a:schemeClr val="accent1">
                <a:lumMod val="30000"/>
                <a:lumOff val="70000"/>
              </a:schemeClr>
            </a:gs>
          </a:gsLst>
          <a:lin ang="5400000" scaled="1"/>
        </a:gradFill>
        <a:effectLst>
          <a:glow rad="101600">
            <a:schemeClr val="accent5">
              <a:satMod val="175000"/>
              <a:alpha val="40000"/>
            </a:schemeClr>
          </a:glow>
          <a:innerShdw blurRad="63500" dist="50800" dir="5400000">
            <a:prstClr val="black">
              <a:alpha val="50000"/>
            </a:prstClr>
          </a:inn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2"/>
              </a:solidFill>
            </a:rPr>
            <a:t>START</a:t>
          </a:r>
        </a:p>
      </xdr:txBody>
    </xdr:sp>
    <xdr:clientData/>
  </xdr:twoCellAnchor>
  <xdr:twoCellAnchor editAs="oneCell">
    <xdr:from>
      <xdr:col>4</xdr:col>
      <xdr:colOff>161925</xdr:colOff>
      <xdr:row>4</xdr:row>
      <xdr:rowOff>85725</xdr:rowOff>
    </xdr:from>
    <xdr:to>
      <xdr:col>10</xdr:col>
      <xdr:colOff>285750</xdr:colOff>
      <xdr:row>18</xdr:row>
      <xdr:rowOff>7721</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00325" y="847725"/>
          <a:ext cx="3781425" cy="2627096"/>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prst="angle"/>
        </a:sp3d>
      </xdr:spPr>
    </xdr:pic>
    <xdr:clientData/>
  </xdr:twoCellAnchor>
  <xdr:twoCellAnchor editAs="oneCell">
    <xdr:from>
      <xdr:col>4</xdr:col>
      <xdr:colOff>219076</xdr:colOff>
      <xdr:row>7</xdr:row>
      <xdr:rowOff>47626</xdr:rowOff>
    </xdr:from>
    <xdr:to>
      <xdr:col>5</xdr:col>
      <xdr:colOff>304800</xdr:colOff>
      <xdr:row>10</xdr:row>
      <xdr:rowOff>133350</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foregroundMark x1="38222" y1="31556" x2="38222" y2="31556"/>
                      <a14:foregroundMark x1="45333" y1="37778" x2="45333" y2="37778"/>
                      <a14:foregroundMark x1="46667" y1="45333" x2="46667" y2="45333"/>
                      <a14:foregroundMark x1="47556" y1="48889" x2="47556" y2="48889"/>
                      <a14:foregroundMark x1="48889" y1="56444" x2="48889" y2="56444"/>
                      <a14:foregroundMark x1="73333" y1="67556" x2="73333" y2="67556"/>
                      <a14:foregroundMark x1="51111" y1="68000" x2="51111" y2="68000"/>
                    </a14:backgroundRemoval>
                  </a14:imgEffect>
                </a14:imgLayer>
              </a14:imgProps>
            </a:ext>
            <a:ext uri="{28A0092B-C50C-407E-A947-70E740481C1C}">
              <a14:useLocalDpi xmlns:a14="http://schemas.microsoft.com/office/drawing/2010/main" val="0"/>
            </a:ext>
          </a:extLst>
        </a:blip>
        <a:stretch>
          <a:fillRect/>
        </a:stretch>
      </xdr:blipFill>
      <xdr:spPr>
        <a:xfrm>
          <a:off x="2657476" y="1381126"/>
          <a:ext cx="695324" cy="6953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3</xdr:row>
          <xdr:rowOff>38100</xdr:rowOff>
        </xdr:from>
        <xdr:to>
          <xdr:col>16</xdr:col>
          <xdr:colOff>314325</xdr:colOff>
          <xdr:row>5</xdr:row>
          <xdr:rowOff>28575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8000"/>
                  </a:solidFill>
                  <a:latin typeface="Cambria"/>
                </a:rPr>
                <a:t>TO ADD MORE</a:t>
              </a:r>
            </a:p>
          </xdr:txBody>
        </xdr:sp>
        <xdr:clientData fPrintsWithSheet="0"/>
      </xdr:twoCellAnchor>
    </mc:Choice>
    <mc:Fallback/>
  </mc:AlternateContent>
  <xdr:twoCellAnchor>
    <xdr:from>
      <xdr:col>15</xdr:col>
      <xdr:colOff>47625</xdr:colOff>
      <xdr:row>5</xdr:row>
      <xdr:rowOff>82096</xdr:rowOff>
    </xdr:from>
    <xdr:to>
      <xdr:col>16</xdr:col>
      <xdr:colOff>396875</xdr:colOff>
      <xdr:row>7</xdr:row>
      <xdr:rowOff>111125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4970125" y="1034596"/>
          <a:ext cx="952500" cy="410029"/>
        </a:xfrm>
        <a:prstGeom prst="roundRect">
          <a:avLst/>
        </a:prstGeom>
        <a:solidFill>
          <a:schemeClr val="accent6">
            <a:lumMod val="60000"/>
            <a:lumOff val="40000"/>
          </a:schemeClr>
        </a:solidFill>
        <a:ln>
          <a:solidFill>
            <a:schemeClr val="accent6">
              <a:lumMod val="7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accent6">
                  <a:lumMod val="50000"/>
                </a:schemeClr>
              </a:solidFill>
            </a:rPr>
            <a:t>NEXT</a:t>
          </a:r>
        </a:p>
      </xdr:txBody>
    </xdr:sp>
    <xdr:clientData/>
  </xdr:twoCellAnchor>
  <xdr:twoCellAnchor>
    <xdr:from>
      <xdr:col>13</xdr:col>
      <xdr:colOff>63500</xdr:colOff>
      <xdr:row>5</xdr:row>
      <xdr:rowOff>111125</xdr:rowOff>
    </xdr:from>
    <xdr:to>
      <xdr:col>14</xdr:col>
      <xdr:colOff>571500</xdr:colOff>
      <xdr:row>7</xdr:row>
      <xdr:rowOff>111125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a:off x="13779500" y="1063625"/>
          <a:ext cx="1111250" cy="381000"/>
        </a:xfrm>
        <a:prstGeom prst="roundRect">
          <a:avLst/>
        </a:prstGeom>
        <a:solidFill>
          <a:srgbClr val="00206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0</xdr:row>
      <xdr:rowOff>0</xdr:rowOff>
    </xdr:from>
    <xdr:to>
      <xdr:col>7</xdr:col>
      <xdr:colOff>266700</xdr:colOff>
      <xdr:row>2</xdr:row>
      <xdr:rowOff>180975</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7625" y="0"/>
          <a:ext cx="5386388" cy="561975"/>
        </a:xfrm>
        <a:prstGeom prst="roundRect">
          <a:avLst/>
        </a:prstGeom>
        <a:solidFill>
          <a:srgbClr val="002060"/>
        </a:solidFill>
        <a:ln>
          <a:solidFill>
            <a:schemeClr val="bg1"/>
          </a:solidFill>
        </a:ln>
        <a:scene3d>
          <a:camera prst="orthographicFront"/>
          <a:lightRig rig="threePt" dir="t"/>
        </a:scene3d>
        <a:sp3d>
          <a:bevelT w="165100" prst="coolSlant"/>
          <a:bevelB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t>            SALES</a:t>
          </a:r>
          <a:r>
            <a:rPr lang="en-US" sz="1600" baseline="0"/>
            <a:t> DASH BOARD - 2024</a:t>
          </a:r>
          <a:endParaRPr lang="en-US" sz="1600"/>
        </a:p>
      </xdr:txBody>
    </xdr:sp>
    <xdr:clientData/>
  </xdr:twoCellAnchor>
  <xdr:twoCellAnchor>
    <xdr:from>
      <xdr:col>7</xdr:col>
      <xdr:colOff>295275</xdr:colOff>
      <xdr:row>0</xdr:row>
      <xdr:rowOff>0</xdr:rowOff>
    </xdr:from>
    <xdr:to>
      <xdr:col>15</xdr:col>
      <xdr:colOff>85725</xdr:colOff>
      <xdr:row>2</xdr:row>
      <xdr:rowOff>180975</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5229225" y="0"/>
          <a:ext cx="4067175" cy="561975"/>
        </a:xfrm>
        <a:prstGeom prst="roundRect">
          <a:avLst/>
        </a:prstGeom>
        <a:solidFill>
          <a:srgbClr val="7030A0"/>
        </a:solidFill>
        <a:ln>
          <a:solidFill>
            <a:srgbClr val="002060"/>
          </a:solidFill>
        </a:ln>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2"/>
              </a:solidFill>
              <a:latin typeface="Cambria" panose="02040503050406030204" pitchFamily="18" charset="0"/>
            </a:rPr>
            <a:t>BUDGET SUPERMARKET</a:t>
          </a:r>
        </a:p>
      </xdr:txBody>
    </xdr:sp>
    <xdr:clientData/>
  </xdr:twoCellAnchor>
  <xdr:twoCellAnchor editAs="oneCell">
    <xdr:from>
      <xdr:col>5</xdr:col>
      <xdr:colOff>571501</xdr:colOff>
      <xdr:row>0</xdr:row>
      <xdr:rowOff>0</xdr:rowOff>
    </xdr:from>
    <xdr:to>
      <xdr:col>7</xdr:col>
      <xdr:colOff>123825</xdr:colOff>
      <xdr:row>3</xdr:row>
      <xdr:rowOff>85725</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foregroundMark x1="31481" y1="39815" x2="31481" y2="39815"/>
                    </a14:backgroundRemoval>
                  </a14:imgEffect>
                </a14:imgLayer>
              </a14:imgProps>
            </a:ext>
            <a:ext uri="{28A0092B-C50C-407E-A947-70E740481C1C}">
              <a14:useLocalDpi xmlns:a14="http://schemas.microsoft.com/office/drawing/2010/main" val="0"/>
            </a:ext>
          </a:extLst>
        </a:blip>
        <a:stretch>
          <a:fillRect/>
        </a:stretch>
      </xdr:blipFill>
      <xdr:spPr>
        <a:xfrm>
          <a:off x="3619501" y="0"/>
          <a:ext cx="1114424" cy="657225"/>
        </a:xfrm>
        <a:prstGeom prst="rect">
          <a:avLst/>
        </a:prstGeom>
      </xdr:spPr>
    </xdr:pic>
    <xdr:clientData/>
  </xdr:twoCellAnchor>
  <xdr:twoCellAnchor>
    <xdr:from>
      <xdr:col>0</xdr:col>
      <xdr:colOff>66675</xdr:colOff>
      <xdr:row>16</xdr:row>
      <xdr:rowOff>123825</xdr:rowOff>
    </xdr:from>
    <xdr:to>
      <xdr:col>1</xdr:col>
      <xdr:colOff>559593</xdr:colOff>
      <xdr:row>27</xdr:row>
      <xdr:rowOff>83344</xdr:rowOff>
    </xdr:to>
    <xdr:sp macro=""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66675" y="3171825"/>
          <a:ext cx="1100137" cy="2055019"/>
        </a:xfrm>
        <a:prstGeom prst="roundRect">
          <a:avLst/>
        </a:prstGeom>
        <a:solidFill>
          <a:schemeClr val="accent5">
            <a:lumMod val="40000"/>
            <a:lumOff val="60000"/>
          </a:schemeClr>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3</xdr:row>
      <xdr:rowOff>28575</xdr:rowOff>
    </xdr:from>
    <xdr:to>
      <xdr:col>1</xdr:col>
      <xdr:colOff>571500</xdr:colOff>
      <xdr:row>16</xdr:row>
      <xdr:rowOff>59531</xdr:rowOff>
    </xdr:to>
    <xdr:sp macro="" textlink="">
      <xdr:nvSpPr>
        <xdr:cNvPr id="19" name="Rectangle 18">
          <a:extLst>
            <a:ext uri="{FF2B5EF4-FFF2-40B4-BE49-F238E27FC236}">
              <a16:creationId xmlns:a16="http://schemas.microsoft.com/office/drawing/2014/main" id="{00000000-0008-0000-0500-000013000000}"/>
            </a:ext>
          </a:extLst>
        </xdr:cNvPr>
        <xdr:cNvSpPr/>
      </xdr:nvSpPr>
      <xdr:spPr>
        <a:xfrm>
          <a:off x="66675" y="600075"/>
          <a:ext cx="1112044" cy="2507456"/>
        </a:xfrm>
        <a:prstGeom prst="rect">
          <a:avLst/>
        </a:prstGeom>
        <a:solidFill>
          <a:schemeClr val="accent5"/>
        </a:solidFill>
        <a:ln>
          <a:solidFill>
            <a:srgbClr val="00206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40483</xdr:colOff>
      <xdr:row>6</xdr:row>
      <xdr:rowOff>83343</xdr:rowOff>
    </xdr:from>
    <xdr:to>
      <xdr:col>5</xdr:col>
      <xdr:colOff>166689</xdr:colOff>
      <xdr:row>15</xdr:row>
      <xdr:rowOff>45244</xdr:rowOff>
    </xdr:to>
    <xdr:graphicFrame macro="">
      <xdr:nvGraphicFramePr>
        <xdr:cNvPr id="16" name="Chart 15">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142875</xdr:colOff>
      <xdr:row>3</xdr:row>
      <xdr:rowOff>114301</xdr:rowOff>
    </xdr:from>
    <xdr:to>
      <xdr:col>1</xdr:col>
      <xdr:colOff>495300</xdr:colOff>
      <xdr:row>15</xdr:row>
      <xdr:rowOff>152401</xdr:rowOff>
    </xdr:to>
    <mc:AlternateContent xmlns:mc="http://schemas.openxmlformats.org/markup-compatibility/2006" xmlns:a14="http://schemas.microsoft.com/office/drawing/2010/main">
      <mc:Choice Requires="a14">
        <xdr:graphicFrame macro="">
          <xdr:nvGraphicFramePr>
            <xdr:cNvPr id="24" name="MONTH 3">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142875" y="685801"/>
              <a:ext cx="962025" cy="2324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238125</xdr:colOff>
      <xdr:row>6</xdr:row>
      <xdr:rowOff>102394</xdr:rowOff>
    </xdr:from>
    <xdr:to>
      <xdr:col>15</xdr:col>
      <xdr:colOff>130967</xdr:colOff>
      <xdr:row>15</xdr:row>
      <xdr:rowOff>73819</xdr:rowOff>
    </xdr:to>
    <xdr:graphicFrame macro="">
      <xdr:nvGraphicFramePr>
        <xdr:cNvPr id="25" name="Chart 24">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273844</xdr:colOff>
      <xdr:row>6</xdr:row>
      <xdr:rowOff>88106</xdr:rowOff>
    </xdr:from>
    <xdr:to>
      <xdr:col>9</xdr:col>
      <xdr:colOff>119063</xdr:colOff>
      <xdr:row>15</xdr:row>
      <xdr:rowOff>59531</xdr:rowOff>
    </xdr:to>
    <xdr:graphicFrame macro="">
      <xdr:nvGraphicFramePr>
        <xdr:cNvPr id="26" name="Chart 25">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142875</xdr:colOff>
      <xdr:row>16</xdr:row>
      <xdr:rowOff>9523</xdr:rowOff>
    </xdr:from>
    <xdr:to>
      <xdr:col>15</xdr:col>
      <xdr:colOff>107156</xdr:colOff>
      <xdr:row>27</xdr:row>
      <xdr:rowOff>119062</xdr:rowOff>
    </xdr:to>
    <xdr:graphicFrame macro="">
      <xdr:nvGraphicFramePr>
        <xdr:cNvPr id="30" name="Chart 29">
          <a:extLst>
            <a:ext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285750</xdr:colOff>
      <xdr:row>17</xdr:row>
      <xdr:rowOff>19050</xdr:rowOff>
    </xdr:from>
    <xdr:to>
      <xdr:col>1</xdr:col>
      <xdr:colOff>371475</xdr:colOff>
      <xdr:row>18</xdr:row>
      <xdr:rowOff>38100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257550"/>
          <a:ext cx="695325" cy="209550"/>
        </a:xfrm>
        <a:prstGeom prst="rect">
          <a:avLst/>
        </a:prstGeom>
        <a:solidFill>
          <a:srgbClr val="002060"/>
        </a:solidFill>
        <a:ln w="9525" cmpd="sng">
          <a:solidFill>
            <a:schemeClr val="lt1">
              <a:shade val="50000"/>
            </a:schemeClr>
          </a:solidFill>
        </a:ln>
        <a:effectLst>
          <a:glow rad="1016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2">
                  <a:lumMod val="20000"/>
                  <a:lumOff val="80000"/>
                </a:schemeClr>
              </a:solidFill>
              <a:latin typeface="Cambria" panose="02040503050406030204" pitchFamily="18" charset="0"/>
            </a:rPr>
            <a:t> SALES</a:t>
          </a:r>
          <a:r>
            <a:rPr lang="en-US" sz="900" baseline="0">
              <a:solidFill>
                <a:schemeClr val="tx2">
                  <a:lumMod val="20000"/>
                  <a:lumOff val="80000"/>
                </a:schemeClr>
              </a:solidFill>
              <a:latin typeface="Cambria" panose="02040503050406030204" pitchFamily="18" charset="0"/>
            </a:rPr>
            <a:t> BY</a:t>
          </a:r>
          <a:endParaRPr lang="en-US" sz="900">
            <a:solidFill>
              <a:schemeClr val="tx2">
                <a:lumMod val="20000"/>
                <a:lumOff val="80000"/>
              </a:schemeClr>
            </a:solidFill>
            <a:latin typeface="Cambria" panose="02040503050406030204" pitchFamily="18" charset="0"/>
          </a:endParaRPr>
        </a:p>
      </xdr:txBody>
    </xdr:sp>
    <xdr:clientData/>
  </xdr:twoCellAnchor>
  <xdr:twoCellAnchor>
    <xdr:from>
      <xdr:col>0</xdr:col>
      <xdr:colOff>190500</xdr:colOff>
      <xdr:row>18</xdr:row>
      <xdr:rowOff>104774</xdr:rowOff>
    </xdr:from>
    <xdr:to>
      <xdr:col>1</xdr:col>
      <xdr:colOff>457200</xdr:colOff>
      <xdr:row>19</xdr:row>
      <xdr:rowOff>152399</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00000000-0008-0000-0500-000009000000}"/>
            </a:ext>
          </a:extLst>
        </xdr:cNvPr>
        <xdr:cNvSpPr/>
      </xdr:nvSpPr>
      <xdr:spPr>
        <a:xfrm>
          <a:off x="190500" y="3533774"/>
          <a:ext cx="876300" cy="238125"/>
        </a:xfrm>
        <a:prstGeom prst="roundRect">
          <a:avLst/>
        </a:prstGeom>
        <a:solidFill>
          <a:schemeClr val="accent5">
            <a:lumMod val="60000"/>
            <a:lumOff val="40000"/>
          </a:schemeClr>
        </a:solidFill>
        <a:ln>
          <a:solidFill>
            <a:srgbClr val="00206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rgbClr val="002060"/>
              </a:solidFill>
            </a:rPr>
            <a:t>GENDER</a:t>
          </a:r>
        </a:p>
      </xdr:txBody>
    </xdr:sp>
    <xdr:clientData/>
  </xdr:twoCellAnchor>
  <xdr:twoCellAnchor>
    <xdr:from>
      <xdr:col>0</xdr:col>
      <xdr:colOff>190500</xdr:colOff>
      <xdr:row>20</xdr:row>
      <xdr:rowOff>28574</xdr:rowOff>
    </xdr:from>
    <xdr:to>
      <xdr:col>1</xdr:col>
      <xdr:colOff>457200</xdr:colOff>
      <xdr:row>21</xdr:row>
      <xdr:rowOff>76199</xdr:rowOff>
    </xdr:to>
    <xdr:sp macro="" textlink="">
      <xdr:nvSpPr>
        <xdr:cNvPr id="33" name="Rectangle: Rounded Corners 32">
          <a:hlinkClick xmlns:r="http://schemas.openxmlformats.org/officeDocument/2006/relationships" r:id="rId8"/>
          <a:extLst>
            <a:ext uri="{FF2B5EF4-FFF2-40B4-BE49-F238E27FC236}">
              <a16:creationId xmlns:a16="http://schemas.microsoft.com/office/drawing/2014/main" id="{00000000-0008-0000-0500-000021000000}"/>
            </a:ext>
          </a:extLst>
        </xdr:cNvPr>
        <xdr:cNvSpPr/>
      </xdr:nvSpPr>
      <xdr:spPr>
        <a:xfrm>
          <a:off x="190500" y="3838574"/>
          <a:ext cx="876300" cy="238125"/>
        </a:xfrm>
        <a:prstGeom prst="roundRect">
          <a:avLst/>
        </a:prstGeom>
        <a:solidFill>
          <a:schemeClr val="accent5">
            <a:lumMod val="60000"/>
            <a:lumOff val="40000"/>
          </a:schemeClr>
        </a:solidFill>
        <a:ln>
          <a:solidFill>
            <a:srgbClr val="00206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2060"/>
              </a:solidFill>
            </a:rPr>
            <a:t>SEGMENT</a:t>
          </a:r>
        </a:p>
      </xdr:txBody>
    </xdr:sp>
    <xdr:clientData/>
  </xdr:twoCellAnchor>
  <xdr:twoCellAnchor>
    <xdr:from>
      <xdr:col>0</xdr:col>
      <xdr:colOff>190500</xdr:colOff>
      <xdr:row>21</xdr:row>
      <xdr:rowOff>142875</xdr:rowOff>
    </xdr:from>
    <xdr:to>
      <xdr:col>1</xdr:col>
      <xdr:colOff>457200</xdr:colOff>
      <xdr:row>22</xdr:row>
      <xdr:rowOff>180975</xdr:rowOff>
    </xdr:to>
    <xdr:sp macro="" textlink="">
      <xdr:nvSpPr>
        <xdr:cNvPr id="34" name="Rectangle: Rounded Corners 33">
          <a:hlinkClick xmlns:r="http://schemas.openxmlformats.org/officeDocument/2006/relationships" r:id="rId9"/>
          <a:extLst>
            <a:ext uri="{FF2B5EF4-FFF2-40B4-BE49-F238E27FC236}">
              <a16:creationId xmlns:a16="http://schemas.microsoft.com/office/drawing/2014/main" id="{00000000-0008-0000-0500-000022000000}"/>
            </a:ext>
          </a:extLst>
        </xdr:cNvPr>
        <xdr:cNvSpPr/>
      </xdr:nvSpPr>
      <xdr:spPr>
        <a:xfrm>
          <a:off x="190500" y="4143375"/>
          <a:ext cx="876300" cy="228600"/>
        </a:xfrm>
        <a:prstGeom prst="roundRect">
          <a:avLst/>
        </a:prstGeom>
        <a:solidFill>
          <a:schemeClr val="accent5">
            <a:lumMod val="60000"/>
            <a:lumOff val="40000"/>
          </a:schemeClr>
        </a:solidFill>
        <a:ln>
          <a:solidFill>
            <a:srgbClr val="00206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2060"/>
              </a:solidFill>
            </a:rPr>
            <a:t>REGION</a:t>
          </a:r>
        </a:p>
      </xdr:txBody>
    </xdr:sp>
    <xdr:clientData/>
  </xdr:twoCellAnchor>
  <xdr:twoCellAnchor>
    <xdr:from>
      <xdr:col>0</xdr:col>
      <xdr:colOff>190500</xdr:colOff>
      <xdr:row>23</xdr:row>
      <xdr:rowOff>47624</xdr:rowOff>
    </xdr:from>
    <xdr:to>
      <xdr:col>1</xdr:col>
      <xdr:colOff>457200</xdr:colOff>
      <xdr:row>24</xdr:row>
      <xdr:rowOff>95249</xdr:rowOff>
    </xdr:to>
    <xdr:sp macro="" textlink="">
      <xdr:nvSpPr>
        <xdr:cNvPr id="35" name="Rectangle: Rounded Corners 34">
          <a:hlinkClick xmlns:r="http://schemas.openxmlformats.org/officeDocument/2006/relationships" r:id="rId10"/>
          <a:extLst>
            <a:ext uri="{FF2B5EF4-FFF2-40B4-BE49-F238E27FC236}">
              <a16:creationId xmlns:a16="http://schemas.microsoft.com/office/drawing/2014/main" id="{00000000-0008-0000-0500-000023000000}"/>
            </a:ext>
          </a:extLst>
        </xdr:cNvPr>
        <xdr:cNvSpPr/>
      </xdr:nvSpPr>
      <xdr:spPr>
        <a:xfrm>
          <a:off x="190500" y="4429124"/>
          <a:ext cx="876300" cy="238125"/>
        </a:xfrm>
        <a:prstGeom prst="roundRect">
          <a:avLst/>
        </a:prstGeom>
        <a:solidFill>
          <a:schemeClr val="accent5">
            <a:lumMod val="60000"/>
            <a:lumOff val="40000"/>
          </a:schemeClr>
        </a:solidFill>
        <a:ln>
          <a:solidFill>
            <a:srgbClr val="00206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2060"/>
              </a:solidFill>
            </a:rPr>
            <a:t>CITY</a:t>
          </a:r>
        </a:p>
      </xdr:txBody>
    </xdr:sp>
    <xdr:clientData/>
  </xdr:twoCellAnchor>
  <xdr:twoCellAnchor>
    <xdr:from>
      <xdr:col>0</xdr:col>
      <xdr:colOff>190500</xdr:colOff>
      <xdr:row>24</xdr:row>
      <xdr:rowOff>142874</xdr:rowOff>
    </xdr:from>
    <xdr:to>
      <xdr:col>1</xdr:col>
      <xdr:colOff>457200</xdr:colOff>
      <xdr:row>25</xdr:row>
      <xdr:rowOff>171449</xdr:rowOff>
    </xdr:to>
    <xdr:sp macro="" textlink="">
      <xdr:nvSpPr>
        <xdr:cNvPr id="36" name="Rectangle: Rounded Corners 35">
          <a:hlinkClick xmlns:r="http://schemas.openxmlformats.org/officeDocument/2006/relationships" r:id="rId11"/>
          <a:extLst>
            <a:ext uri="{FF2B5EF4-FFF2-40B4-BE49-F238E27FC236}">
              <a16:creationId xmlns:a16="http://schemas.microsoft.com/office/drawing/2014/main" id="{00000000-0008-0000-0500-000024000000}"/>
            </a:ext>
          </a:extLst>
        </xdr:cNvPr>
        <xdr:cNvSpPr/>
      </xdr:nvSpPr>
      <xdr:spPr>
        <a:xfrm>
          <a:off x="190500" y="4714874"/>
          <a:ext cx="876300" cy="219075"/>
        </a:xfrm>
        <a:prstGeom prst="roundRect">
          <a:avLst/>
        </a:prstGeom>
        <a:solidFill>
          <a:schemeClr val="accent5">
            <a:lumMod val="60000"/>
            <a:lumOff val="40000"/>
          </a:schemeClr>
        </a:solidFill>
        <a:ln>
          <a:solidFill>
            <a:srgbClr val="00206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2060"/>
              </a:solidFill>
            </a:rPr>
            <a:t>MONTH</a:t>
          </a:r>
        </a:p>
      </xdr:txBody>
    </xdr:sp>
    <xdr:clientData/>
  </xdr:twoCellAnchor>
  <xdr:twoCellAnchor>
    <xdr:from>
      <xdr:col>2</xdr:col>
      <xdr:colOff>19051</xdr:colOff>
      <xdr:row>15</xdr:row>
      <xdr:rowOff>180974</xdr:rowOff>
    </xdr:from>
    <xdr:to>
      <xdr:col>7</xdr:col>
      <xdr:colOff>71438</xdr:colOff>
      <xdr:row>27</xdr:row>
      <xdr:rowOff>119061</xdr:rowOff>
    </xdr:to>
    <xdr:graphicFrame macro="">
      <xdr:nvGraphicFramePr>
        <xdr:cNvPr id="38" name="Chart 37">
          <a:extLst>
            <a:ext uri="{FF2B5EF4-FFF2-40B4-BE49-F238E27FC236}">
              <a16:creationId xmlns:a16="http://schemas.microsoft.com/office/drawing/2014/main" id="{00000000-0008-0000-05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13</xdr:col>
      <xdr:colOff>333376</xdr:colOff>
      <xdr:row>4</xdr:row>
      <xdr:rowOff>19051</xdr:rowOff>
    </xdr:from>
    <xdr:to>
      <xdr:col>15</xdr:col>
      <xdr:colOff>5187</xdr:colOff>
      <xdr:row>5</xdr:row>
      <xdr:rowOff>171450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3" cstate="print">
          <a:extLst>
            <a:ext uri="{BEBA8EAE-BF5A-486C-A8C5-ECC9F3942E4B}">
              <a14:imgProps xmlns:a14="http://schemas.microsoft.com/office/drawing/2010/main">
                <a14:imgLayer r:embed="rId14">
                  <a14:imgEffect>
                    <a14:backgroundRemoval t="4730" b="93243" l="9211" r="89474">
                      <a14:foregroundMark x1="48026" y1="8784" x2="48026" y2="8784"/>
                      <a14:foregroundMark x1="41447" y1="4730" x2="41447" y2="4730"/>
                      <a14:foregroundMark x1="28289" y1="19595" x2="28289" y2="19595"/>
                      <a14:foregroundMark x1="30263" y1="22297" x2="30263" y2="22297"/>
                      <a14:foregroundMark x1="30263" y1="22297" x2="30263" y2="22297"/>
                      <a14:foregroundMark x1="63158" y1="89865" x2="63158" y2="89865"/>
                      <a14:foregroundMark x1="63816" y1="90541" x2="63816" y2="90541"/>
                      <a14:foregroundMark x1="69079" y1="61486" x2="69079" y2="61486"/>
                      <a14:foregroundMark x1="36184" y1="90541" x2="36184" y2="90541"/>
                      <a14:foregroundMark x1="35526" y1="93243" x2="35526" y2="93243"/>
                      <a14:foregroundMark x1="63816" y1="92568" x2="63816" y2="92568"/>
                    </a14:backgroundRemoval>
                  </a14:imgEffect>
                </a14:imgLayer>
              </a14:imgProps>
            </a:ext>
            <a:ext uri="{28A0092B-C50C-407E-A947-70E740481C1C}">
              <a14:useLocalDpi xmlns:a14="http://schemas.microsoft.com/office/drawing/2010/main" val="0"/>
            </a:ext>
          </a:extLst>
        </a:blip>
        <a:stretch>
          <a:fillRect/>
        </a:stretch>
      </xdr:blipFill>
      <xdr:spPr>
        <a:xfrm>
          <a:off x="8820151" y="781051"/>
          <a:ext cx="352167" cy="342899"/>
        </a:xfrm>
        <a:prstGeom prst="rect">
          <a:avLst/>
        </a:prstGeom>
      </xdr:spPr>
    </xdr:pic>
    <xdr:clientData/>
  </xdr:twoCellAnchor>
  <xdr:twoCellAnchor editAs="oneCell">
    <xdr:from>
      <xdr:col>4</xdr:col>
      <xdr:colOff>333375</xdr:colOff>
      <xdr:row>4</xdr:row>
      <xdr:rowOff>38781</xdr:rowOff>
    </xdr:from>
    <xdr:to>
      <xdr:col>4</xdr:col>
      <xdr:colOff>827994</xdr:colOff>
      <xdr:row>6</xdr:row>
      <xdr:rowOff>152400</xdr:rowOff>
    </xdr:to>
    <xdr:pic>
      <xdr:nvPicPr>
        <xdr:cNvPr id="40" name="Picture 39">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ackgroundRemoval t="977" b="89844" l="9961" r="89844">
                      <a14:foregroundMark x1="47461" y1="21680" x2="47461" y2="21680"/>
                      <a14:foregroundMark x1="45313" y1="15430" x2="45313" y2="15430"/>
                      <a14:foregroundMark x1="48438" y1="6055" x2="48438" y2="6055"/>
                      <a14:foregroundMark x1="75391" y1="48438" x2="75391" y2="48438"/>
                      <a14:foregroundMark x1="85547" y1="45313" x2="85547" y2="45313"/>
                      <a14:foregroundMark x1="48438" y1="10156" x2="48438" y2="10156"/>
                      <a14:foregroundMark x1="45313" y1="4102" x2="45313" y2="4102"/>
                      <a14:foregroundMark x1="40820" y1="1563" x2="40820" y2="1563"/>
                      <a14:foregroundMark x1="22266" y1="13867" x2="22266" y2="13867"/>
                      <a14:foregroundMark x1="21680" y1="7617" x2="21680" y2="7617"/>
                      <a14:foregroundMark x1="36523" y1="977" x2="36523" y2="977"/>
                      <a14:foregroundMark x1="65430" y1="5078" x2="65430" y2="5078"/>
                      <a14:foregroundMark x1="62305" y1="4102" x2="64453" y2="8203"/>
                      <a14:foregroundMark x1="63477" y1="6641" x2="68555" y2="11328"/>
                      <a14:foregroundMark x1="67578" y1="7227" x2="70117" y2="9766"/>
                      <a14:foregroundMark x1="68555" y1="9180" x2="70117" y2="12891"/>
                      <a14:foregroundMark x1="72266" y1="11328" x2="72266" y2="11328"/>
                      <a14:foregroundMark x1="66992" y1="5078" x2="71094" y2="10742"/>
                      <a14:foregroundMark x1="71094" y1="11914" x2="71094" y2="15430"/>
                      <a14:foregroundMark x1="37109" y1="1953" x2="22656" y2="5664"/>
                      <a14:foregroundMark x1="26367" y1="6641" x2="23633" y2="25195"/>
                      <a14:foregroundMark x1="22266" y1="12305" x2="20703" y2="33984"/>
                      <a14:foregroundMark x1="21094" y1="33398" x2="22266" y2="44922"/>
                      <a14:foregroundMark x1="21680" y1="21680" x2="22656" y2="10352"/>
                      <a14:foregroundMark x1="83594" y1="26172" x2="83594" y2="26172"/>
                      <a14:foregroundMark x1="79883" y1="26172" x2="86719" y2="32422"/>
                      <a14:foregroundMark x1="72266" y1="21680" x2="86719" y2="29883"/>
                      <a14:foregroundMark x1="73828" y1="21680" x2="81445" y2="25195"/>
                      <a14:foregroundMark x1="81445" y1="29883" x2="87695" y2="48438"/>
                      <a14:foregroundMark x1="66443" y1="48993" x2="66443" y2="48993"/>
                      <a14:foregroundMark x1="53691" y1="40268" x2="73826" y2="36913"/>
                      <a14:foregroundMark x1="58389" y1="36913" x2="59732" y2="40268"/>
                      <a14:foregroundMark x1="64430" y1="30872" x2="53691" y2="46309"/>
                      <a14:foregroundMark x1="57047" y1="30872" x2="63087" y2="63087"/>
                      <a14:foregroundMark x1="64430" y1="61745" x2="73826" y2="46309"/>
                      <a14:foregroundMark x1="63087" y1="52349" x2="52349" y2="32215"/>
                      <a14:foregroundMark x1="38255" y1="38255" x2="61745" y2="28859"/>
                      <a14:foregroundMark x1="36913" y1="41611" x2="35570" y2="26174"/>
                      <a14:foregroundMark x1="35570" y1="44295" x2="41611" y2="42953"/>
                      <a14:foregroundMark x1="29530" y1="28859" x2="58389" y2="24832"/>
                      <a14:foregroundMark x1="32215" y1="24832" x2="63087" y2="21477"/>
                      <a14:foregroundMark x1="51007" y1="20134" x2="61745" y2="15436"/>
                      <a14:foregroundMark x1="47651" y1="36913" x2="57047" y2="59732"/>
                      <a14:foregroundMark x1="47651" y1="42953" x2="81879" y2="57047"/>
                      <a14:foregroundMark x1="57047" y1="42953" x2="75168" y2="61745"/>
                      <a14:foregroundMark x1="59732" y1="48993" x2="30872" y2="46309"/>
                      <a14:foregroundMark x1="27517" y1="26174" x2="63087" y2="6040"/>
                      <a14:foregroundMark x1="48993" y1="6040" x2="58389" y2="1342"/>
                      <a14:foregroundMark x1="63087" y1="32215" x2="20134" y2="40268"/>
                      <a14:foregroundMark x1="21477" y1="41611" x2="51007" y2="48993"/>
                      <a14:backgroundMark x1="20703" y1="74219" x2="20703" y2="74219"/>
                      <a14:backgroundMark x1="30859" y1="80469" x2="30859" y2="80469"/>
                      <a14:backgroundMark x1="38086" y1="73242" x2="38086" y2="73242"/>
                      <a14:backgroundMark x1="16602" y1="63867" x2="32031" y2="76367"/>
                      <a14:backgroundMark x1="29883" y1="74219" x2="29883" y2="74219"/>
                      <a14:backgroundMark x1="37109" y1="74219" x2="43359" y2="90625"/>
                      <a14:backgroundMark x1="35156" y1="73242" x2="54688" y2="85547"/>
                      <a14:backgroundMark x1="33008" y1="67969" x2="61914" y2="83398"/>
                      <a14:backgroundMark x1="66992" y1="90625" x2="88672" y2="84570"/>
                      <a14:backgroundMark x1="7227" y1="56641" x2="24805" y2="77344"/>
                      <a14:backgroundMark x1="17578" y1="60742" x2="25781" y2="57617"/>
                      <a14:backgroundMark x1="23633" y1="58789" x2="23633" y2="58789"/>
                      <a14:backgroundMark x1="71094" y1="77734" x2="71094" y2="77734"/>
                      <a14:backgroundMark x1="71094" y1="77734" x2="84570" y2="74219"/>
                      <a14:backgroundMark x1="60756" y1="71277" x2="55664" y2="70313"/>
                      <a14:backgroundMark x1="81445" y1="75195" x2="60980" y2="71320"/>
                      <a14:backgroundMark x1="55664" y1="70313" x2="32227" y2="56641"/>
                      <a14:backgroundMark x1="32227" y1="56641" x2="19531" y2="55664"/>
                      <a14:backgroundMark x1="14453" y1="55664" x2="21680" y2="54688"/>
                      <a14:backgroundMark x1="7227" y1="56250" x2="23242" y2="56641"/>
                      <a14:backgroundMark x1="9375" y1="53516" x2="22266" y2="53516"/>
                      <a14:backgroundMark x1="17969" y1="54102" x2="53711" y2="67969"/>
                      <a14:backgroundMark x1="44336" y1="64453" x2="44875" y2="60144"/>
                      <a14:backgroundMark x1="38086" y1="61328" x2="42188" y2="58789"/>
                      <a14:backgroundMark x1="37695" y1="58789" x2="50586" y2="68555"/>
                      <a14:backgroundMark x1="48959" y1="62891" x2="51437" y2="62891"/>
                      <a14:backgroundMark x1="44922" y1="62891" x2="46006" y2="62891"/>
                      <a14:backgroundMark x1="67969" y1="84570" x2="89258" y2="72656"/>
                      <a14:backgroundMark x1="78320" y1="73633" x2="88672" y2="72070"/>
                      <a14:backgroundMark x1="80469" y1="73633" x2="84570" y2="72656"/>
                      <a14:backgroundMark x1="25195" y1="55078" x2="25195" y2="55078"/>
                      <a14:backgroundMark x1="25195" y1="55078" x2="25195" y2="55078"/>
                      <a14:backgroundMark x1="83008" y1="71680" x2="83008" y2="71680"/>
                      <a14:backgroundMark x1="83594" y1="71680" x2="77930" y2="72656"/>
                      <a14:backgroundMark x1="35547" y1="58203" x2="39814" y2="57026"/>
                      <a14:backgroundMark x1="20117" y1="55664" x2="22656" y2="55078"/>
                      <a14:backgroundMark x1="23242" y1="54102" x2="25781" y2="56250"/>
                    </a14:backgroundRemoval>
                  </a14:imgEffect>
                </a14:imgLayer>
              </a14:imgProps>
            </a:ext>
            <a:ext uri="{28A0092B-C50C-407E-A947-70E740481C1C}">
              <a14:useLocalDpi xmlns:a14="http://schemas.microsoft.com/office/drawing/2010/main" val="0"/>
            </a:ext>
          </a:extLst>
        </a:blip>
        <a:stretch>
          <a:fillRect/>
        </a:stretch>
      </xdr:blipFill>
      <xdr:spPr>
        <a:xfrm>
          <a:off x="3095625" y="800781"/>
          <a:ext cx="494619" cy="494619"/>
        </a:xfrm>
        <a:prstGeom prst="rect">
          <a:avLst/>
        </a:prstGeom>
      </xdr:spPr>
    </xdr:pic>
    <xdr:clientData/>
  </xdr:twoCellAnchor>
  <xdr:twoCellAnchor>
    <xdr:from>
      <xdr:col>1</xdr:col>
      <xdr:colOff>628650</xdr:colOff>
      <xdr:row>4</xdr:row>
      <xdr:rowOff>1</xdr:rowOff>
    </xdr:from>
    <xdr:to>
      <xdr:col>5</xdr:col>
      <xdr:colOff>66675</xdr:colOff>
      <xdr:row>5</xdr:row>
      <xdr:rowOff>171451</xdr:rowOff>
    </xdr:to>
    <xdr:sp macro="" textlink="">
      <xdr:nvSpPr>
        <xdr:cNvPr id="4" name="Rectangle: Rounded Corners 3">
          <a:extLst>
            <a:ext uri="{FF2B5EF4-FFF2-40B4-BE49-F238E27FC236}">
              <a16:creationId xmlns:a16="http://schemas.microsoft.com/office/drawing/2014/main" id="{00000000-0008-0000-0500-000004000000}"/>
            </a:ext>
          </a:extLst>
        </xdr:cNvPr>
        <xdr:cNvSpPr/>
      </xdr:nvSpPr>
      <xdr:spPr>
        <a:xfrm>
          <a:off x="1238250" y="762001"/>
          <a:ext cx="2200275" cy="361950"/>
        </a:xfrm>
        <a:prstGeom prst="roundRect">
          <a:avLst/>
        </a:prstGeom>
        <a:noFill/>
        <a:ln w="9525"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a:p>
      </xdr:txBody>
    </xdr:sp>
    <xdr:clientData/>
  </xdr:twoCellAnchor>
  <xdr:twoCellAnchor>
    <xdr:from>
      <xdr:col>5</xdr:col>
      <xdr:colOff>542925</xdr:colOff>
      <xdr:row>3</xdr:row>
      <xdr:rowOff>180974</xdr:rowOff>
    </xdr:from>
    <xdr:to>
      <xdr:col>9</xdr:col>
      <xdr:colOff>47625</xdr:colOff>
      <xdr:row>5</xdr:row>
      <xdr:rowOff>190499</xdr:rowOff>
    </xdr:to>
    <xdr:sp macro="" textlink="">
      <xdr:nvSpPr>
        <xdr:cNvPr id="27" name="Rectangle: Rounded Corners 26">
          <a:extLst>
            <a:ext uri="{FF2B5EF4-FFF2-40B4-BE49-F238E27FC236}">
              <a16:creationId xmlns:a16="http://schemas.microsoft.com/office/drawing/2014/main" id="{00000000-0008-0000-0500-00001B000000}"/>
            </a:ext>
          </a:extLst>
        </xdr:cNvPr>
        <xdr:cNvSpPr/>
      </xdr:nvSpPr>
      <xdr:spPr>
        <a:xfrm>
          <a:off x="4152900" y="752474"/>
          <a:ext cx="2219325" cy="390525"/>
        </a:xfrm>
        <a:prstGeom prst="roundRect">
          <a:avLst/>
        </a:prstGeom>
        <a:noFill/>
        <a:ln w="9525"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a:p>
      </xdr:txBody>
    </xdr:sp>
    <xdr:clientData/>
  </xdr:twoCellAnchor>
  <xdr:twoCellAnchor>
    <xdr:from>
      <xdr:col>9</xdr:col>
      <xdr:colOff>581025</xdr:colOff>
      <xdr:row>4</xdr:row>
      <xdr:rowOff>0</xdr:rowOff>
    </xdr:from>
    <xdr:to>
      <xdr:col>15</xdr:col>
      <xdr:colOff>76200</xdr:colOff>
      <xdr:row>6</xdr:row>
      <xdr:rowOff>0</xdr:rowOff>
    </xdr:to>
    <xdr:sp macro="" textlink="">
      <xdr:nvSpPr>
        <xdr:cNvPr id="28" name="Rectangle: Rounded Corners 27">
          <a:extLst>
            <a:ext uri="{FF2B5EF4-FFF2-40B4-BE49-F238E27FC236}">
              <a16:creationId xmlns:a16="http://schemas.microsoft.com/office/drawing/2014/main" id="{00000000-0008-0000-0500-00001C000000}"/>
            </a:ext>
          </a:extLst>
        </xdr:cNvPr>
        <xdr:cNvSpPr/>
      </xdr:nvSpPr>
      <xdr:spPr>
        <a:xfrm>
          <a:off x="6905625" y="762000"/>
          <a:ext cx="2381250" cy="381000"/>
        </a:xfrm>
        <a:prstGeom prst="roundRect">
          <a:avLst/>
        </a:prstGeom>
        <a:noFill/>
        <a:ln w="9525"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US" sz="1100"/>
        </a:p>
      </xdr:txBody>
    </xdr:sp>
    <xdr:clientData/>
  </xdr:twoCellAnchor>
  <xdr:twoCellAnchor editAs="oneCell">
    <xdr:from>
      <xdr:col>8</xdr:col>
      <xdr:colOff>171451</xdr:colOff>
      <xdr:row>4</xdr:row>
      <xdr:rowOff>57151</xdr:rowOff>
    </xdr:from>
    <xdr:to>
      <xdr:col>8</xdr:col>
      <xdr:colOff>438151</xdr:colOff>
      <xdr:row>5</xdr:row>
      <xdr:rowOff>133351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0" b="99556" l="4000" r="95556">
                      <a14:foregroundMark x1="29778" y1="5333" x2="29778" y2="5333"/>
                      <a14:foregroundMark x1="8444" y1="17333" x2="8444" y2="17333"/>
                      <a14:foregroundMark x1="4444" y1="21778" x2="4444" y2="21778"/>
                      <a14:foregroundMark x1="13333" y1="34667" x2="13333" y2="34667"/>
                      <a14:foregroundMark x1="11556" y1="34222" x2="11556" y2="34222"/>
                      <a14:foregroundMark x1="91556" y1="30667" x2="91556" y2="30667"/>
                      <a14:foregroundMark x1="93778" y1="27111" x2="93778" y2="27111"/>
                      <a14:foregroundMark x1="85333" y1="60444" x2="85333" y2="60444"/>
                      <a14:foregroundMark x1="47111" y1="94222" x2="47111" y2="94222"/>
                      <a14:foregroundMark x1="17333" y1="61333" x2="17333" y2="61333"/>
                      <a14:foregroundMark x1="12444" y1="55111" x2="12444" y2="55111"/>
                      <a14:foregroundMark x1="12444" y1="49778" x2="12444" y2="64444"/>
                      <a14:foregroundMark x1="13333" y1="49778" x2="16889" y2="64889"/>
                      <a14:foregroundMark x1="24000" y1="68000" x2="24000" y2="68000"/>
                      <a14:foregroundMark x1="19556" y1="61333" x2="19556" y2="61333"/>
                      <a14:foregroundMark x1="79556" y1="63556" x2="79556" y2="63556"/>
                      <a14:foregroundMark x1="72444" y1="62667" x2="72444" y2="62667"/>
                      <a14:foregroundMark x1="72000" y1="60889" x2="73333" y2="75556"/>
                      <a14:foregroundMark x1="78222" y1="74222" x2="80000" y2="72889"/>
                      <a14:foregroundMark x1="81333" y1="73333" x2="84889" y2="68000"/>
                      <a14:foregroundMark x1="86222" y1="76000" x2="84889" y2="72000"/>
                      <a14:foregroundMark x1="87111" y1="72444" x2="87556" y2="69333"/>
                      <a14:foregroundMark x1="86667" y1="67556" x2="85778" y2="66222"/>
                      <a14:foregroundMark x1="87111" y1="57333" x2="86667" y2="53333"/>
                      <a14:foregroundMark x1="87556" y1="41778" x2="87556" y2="41778"/>
                      <a14:foregroundMark x1="92664" y1="28125" x2="92889" y2="27111"/>
                      <a14:foregroundMark x1="90927" y1="35938" x2="92664" y2="28125"/>
                      <a14:foregroundMark x1="90222" y1="39111" x2="90927" y2="35938"/>
                      <a14:foregroundMark x1="92889" y1="27111" x2="93333" y2="21778"/>
                      <a14:foregroundMark x1="92889" y1="18222" x2="90667" y2="15556"/>
                      <a14:foregroundMark x1="87111" y1="13333" x2="91556" y2="15111"/>
                      <a14:foregroundMark x1="92889" y1="16000" x2="95556" y2="20889"/>
                      <a14:foregroundMark x1="84889" y1="14222" x2="76444" y2="14667"/>
                      <a14:foregroundMark x1="76444" y1="18222" x2="76444" y2="18222"/>
                      <a14:foregroundMark x1="76000" y1="17778" x2="89778" y2="18667"/>
                      <a14:foregroundMark x1="90222" y1="20889" x2="90222" y2="23556"/>
                      <a14:foregroundMark x1="84805" y1="35938" x2="80889" y2="44889"/>
                      <a14:foregroundMark x1="88223" y1="28125" x2="84805" y2="35938"/>
                      <a14:foregroundMark x1="90222" y1="23556" x2="88223" y2="28125"/>
                      <a14:foregroundMark x1="80889" y1="44889" x2="69333" y2="53778"/>
                      <a14:foregroundMark x1="73302" y1="28125" x2="76000" y2="17333"/>
                      <a14:foregroundMark x1="71349" y1="35938" x2="73302" y2="28125"/>
                      <a14:foregroundMark x1="67111" y1="52889" x2="71349" y2="35938"/>
                      <a14:foregroundMark x1="66667" y1="52889" x2="52000" y2="70222"/>
                      <a14:foregroundMark x1="52000" y1="70222" x2="52444" y2="77333"/>
                      <a14:foregroundMark x1="53778" y1="67556" x2="52889" y2="89333"/>
                      <a14:foregroundMark x1="45778" y1="63111" x2="46222" y2="88000"/>
                      <a14:foregroundMark x1="44889" y1="64444" x2="29778" y2="37778"/>
                      <a14:foregroundMark x1="20889" y1="8889" x2="33333" y2="53778"/>
                      <a14:foregroundMark x1="33333" y1="53778" x2="37778" y2="60000"/>
                      <a14:foregroundMark x1="22222" y1="8889" x2="44444" y2="11111"/>
                      <a14:foregroundMark x1="44444" y1="11111" x2="61778" y2="8889"/>
                      <a14:foregroundMark x1="36444" y1="8444" x2="70667" y2="9778"/>
                      <a14:foregroundMark x1="72889" y1="8889" x2="51556" y2="889"/>
                      <a14:foregroundMark x1="51556" y1="889" x2="28889" y2="444"/>
                      <a14:foregroundMark x1="28889" y1="444" x2="20000" y2="6222"/>
                      <a14:foregroundMark x1="28889" y1="97778" x2="32444" y2="99556"/>
                      <a14:backgroundMark x1="78125" y1="28125" x2="78125" y2="28125"/>
                      <a14:backgroundMark x1="78125" y1="35938" x2="78125" y2="35938"/>
                    </a14:backgroundRemoval>
                  </a14:imgEffect>
                </a14:imgLayer>
              </a14:imgProps>
            </a:ext>
            <a:ext uri="{28A0092B-C50C-407E-A947-70E740481C1C}">
              <a14:useLocalDpi xmlns:a14="http://schemas.microsoft.com/office/drawing/2010/main" val="0"/>
            </a:ext>
          </a:extLst>
        </a:blip>
        <a:stretch>
          <a:fillRect/>
        </a:stretch>
      </xdr:blipFill>
      <xdr:spPr>
        <a:xfrm>
          <a:off x="5848351" y="819151"/>
          <a:ext cx="266700" cy="266700"/>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200025</xdr:colOff>
          <xdr:row>14</xdr:row>
          <xdr:rowOff>38100</xdr:rowOff>
        </xdr:from>
        <xdr:to>
          <xdr:col>18</xdr:col>
          <xdr:colOff>523875</xdr:colOff>
          <xdr:row>16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80"/>
                  </a:solidFill>
                  <a:latin typeface="Cambria"/>
                </a:rPr>
                <a:t>OK</a:t>
              </a:r>
            </a:p>
          </xdr:txBody>
        </xdr:sp>
        <xdr:clientData fPrintsWithSheet="0"/>
      </xdr:twoCellAnchor>
    </mc:Choice>
    <mc:Fallback/>
  </mc:AlternateContent>
  <xdr:twoCellAnchor>
    <xdr:from>
      <xdr:col>15</xdr:col>
      <xdr:colOff>214313</xdr:colOff>
      <xdr:row>0</xdr:row>
      <xdr:rowOff>0</xdr:rowOff>
    </xdr:from>
    <xdr:to>
      <xdr:col>16</xdr:col>
      <xdr:colOff>500062</xdr:colOff>
      <xdr:row>7</xdr:row>
      <xdr:rowOff>59531</xdr:rowOff>
    </xdr:to>
    <xdr:sp macro="" textlink="">
      <xdr:nvSpPr>
        <xdr:cNvPr id="11" name="Flowchart: Off-page Connector 10">
          <a:hlinkClick xmlns:r="http://schemas.openxmlformats.org/officeDocument/2006/relationships" r:id="rId19"/>
          <a:extLst>
            <a:ext uri="{FF2B5EF4-FFF2-40B4-BE49-F238E27FC236}">
              <a16:creationId xmlns:a16="http://schemas.microsoft.com/office/drawing/2014/main" id="{00000000-0008-0000-0500-00000B000000}"/>
            </a:ext>
          </a:extLst>
        </xdr:cNvPr>
        <xdr:cNvSpPr/>
      </xdr:nvSpPr>
      <xdr:spPr>
        <a:xfrm>
          <a:off x="9370219" y="0"/>
          <a:ext cx="892968" cy="1393031"/>
        </a:xfrm>
        <a:prstGeom prst="flowChartOffpageConnector">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TOP</a:t>
          </a:r>
          <a:r>
            <a:rPr lang="en-US" sz="1100" baseline="0"/>
            <a:t> 10 PRODUCTS</a:t>
          </a:r>
          <a:endParaRPr lang="en-US" sz="1100"/>
        </a:p>
      </xdr:txBody>
    </xdr:sp>
    <xdr:clientData/>
  </xdr:twoCellAnchor>
  <xdr:twoCellAnchor>
    <xdr:from>
      <xdr:col>17</xdr:col>
      <xdr:colOff>11906</xdr:colOff>
      <xdr:row>0</xdr:row>
      <xdr:rowOff>0</xdr:rowOff>
    </xdr:from>
    <xdr:to>
      <xdr:col>18</xdr:col>
      <xdr:colOff>309562</xdr:colOff>
      <xdr:row>7</xdr:row>
      <xdr:rowOff>59531</xdr:rowOff>
    </xdr:to>
    <xdr:sp macro="" textlink="">
      <xdr:nvSpPr>
        <xdr:cNvPr id="31" name="Flowchart: Off-page Connector 30">
          <a:hlinkClick xmlns:r="http://schemas.openxmlformats.org/officeDocument/2006/relationships" r:id="rId20"/>
          <a:extLst>
            <a:ext uri="{FF2B5EF4-FFF2-40B4-BE49-F238E27FC236}">
              <a16:creationId xmlns:a16="http://schemas.microsoft.com/office/drawing/2014/main" id="{00000000-0008-0000-0500-00001F000000}"/>
            </a:ext>
          </a:extLst>
        </xdr:cNvPr>
        <xdr:cNvSpPr/>
      </xdr:nvSpPr>
      <xdr:spPr>
        <a:xfrm>
          <a:off x="10382250" y="0"/>
          <a:ext cx="904875" cy="1393031"/>
        </a:xfrm>
        <a:prstGeom prst="flowChartOffpageConnector">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TOP 10 CUSTOMERS</a:t>
          </a:r>
        </a:p>
      </xdr:txBody>
    </xdr:sp>
    <xdr:clientData/>
  </xdr:twoCellAnchor>
  <xdr:twoCellAnchor editAs="oneCell">
    <xdr:from>
      <xdr:col>17</xdr:col>
      <xdr:colOff>535784</xdr:colOff>
      <xdr:row>0</xdr:row>
      <xdr:rowOff>0</xdr:rowOff>
    </xdr:from>
    <xdr:to>
      <xdr:col>18</xdr:col>
      <xdr:colOff>285749</xdr:colOff>
      <xdr:row>1</xdr:row>
      <xdr:rowOff>166684</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21" cstate="print">
          <a:extLst>
            <a:ext uri="{BEBA8EAE-BF5A-486C-A8C5-ECC9F3942E4B}">
              <a14:imgProps xmlns:a14="http://schemas.microsoft.com/office/drawing/2010/main">
                <a14:imgLayer r:embed="rId22">
                  <a14:imgEffect>
                    <a14:backgroundRemoval t="10000" b="90000" l="10000" r="90000">
                      <a14:foregroundMark x1="38222" y1="58222" x2="38222" y2="58222"/>
                      <a14:foregroundMark x1="38222" y1="66222" x2="38222" y2="66222"/>
                      <a14:foregroundMark x1="52000" y1="64000" x2="52000" y2="64000"/>
                      <a14:foregroundMark x1="82222" y1="67111" x2="82222" y2="67111"/>
                      <a14:foregroundMark x1="88889" y1="65333" x2="88889" y2="65333"/>
                      <a14:foregroundMark x1="71556" y1="85333" x2="71556" y2="85333"/>
                      <a14:foregroundMark x1="72000" y1="79556" x2="72000" y2="79556"/>
                      <a14:foregroundMark x1="66222" y1="81778" x2="66222" y2="81778"/>
                      <a14:foregroundMark x1="89778" y1="51556" x2="89778" y2="51556"/>
                      <a14:foregroundMark x1="84444" y1="52889" x2="84444" y2="52889"/>
                      <a14:foregroundMark x1="89333" y1="57778" x2="89333" y2="57778"/>
                      <a14:foregroundMark x1="88889" y1="44444" x2="88889" y2="44444"/>
                      <a14:foregroundMark x1="80889" y1="27111" x2="80889" y2="27111"/>
                      <a14:foregroundMark x1="77778" y1="31556" x2="77778" y2="31556"/>
                      <a14:foregroundMark x1="75111" y1="24000" x2="75111" y2="24000"/>
                      <a14:foregroundMark x1="89333" y1="52889" x2="89333" y2="52889"/>
                      <a14:foregroundMark x1="88444" y1="44000" x2="88444" y2="44000"/>
                      <a14:foregroundMark x1="85333" y1="36000" x2="85333" y2="36000"/>
                      <a14:foregroundMark x1="86222" y1="36444" x2="86222" y2="36444"/>
                      <a14:foregroundMark x1="86222" y1="36444" x2="86222" y2="36444"/>
                      <a14:foregroundMark x1="86222" y1="36444" x2="86222" y2="36444"/>
                      <a14:foregroundMark x1="20000" y1="36444" x2="20000" y2="36444"/>
                      <a14:foregroundMark x1="24889" y1="22667" x2="24889" y2="22667"/>
                      <a14:foregroundMark x1="17333" y1="30667" x2="17333" y2="30667"/>
                      <a14:foregroundMark x1="15111" y1="36000" x2="15111" y2="36000"/>
                      <a14:foregroundMark x1="15556" y1="52889" x2="15556" y2="52889"/>
                      <a14:foregroundMark x1="10667" y1="64889" x2="10667" y2="64889"/>
                      <a14:foregroundMark x1="9778" y1="58667" x2="9778" y2="58667"/>
                      <a14:foregroundMark x1="9778" y1="53333" x2="9778" y2="53333"/>
                      <a14:foregroundMark x1="13333" y1="43111" x2="13333" y2="43111"/>
                      <a14:foregroundMark x1="73333" y1="84889" x2="73333" y2="84889"/>
                      <a14:foregroundMark x1="72889" y1="80444" x2="72889" y2="80444"/>
                      <a14:foregroundMark x1="69333" y1="82222" x2="69333" y2="82222"/>
                      <a14:foregroundMark x1="81778" y1="33333" x2="81778" y2="33333"/>
                      <a14:foregroundMark x1="72000" y1="24444" x2="72000" y2="24444"/>
                      <a14:foregroundMark x1="20619" y1="76289" x2="20619" y2="76289"/>
                      <a14:foregroundMark x1="26804" y1="78351" x2="26804" y2="78351"/>
                      <a14:foregroundMark x1="26804" y1="86598" x2="26804" y2="86598"/>
                      <a14:foregroundMark x1="34021" y1="81443" x2="34021" y2="81443"/>
                      <a14:foregroundMark x1="50515" y1="16495" x2="50515" y2="16495"/>
                      <a14:foregroundMark x1="34021" y1="19588" x2="34021" y2="19588"/>
                      <a14:foregroundMark x1="57303" y1="56180" x2="57303" y2="56180"/>
                      <a14:foregroundMark x1="53933" y1="56180" x2="53933" y2="56180"/>
                      <a14:foregroundMark x1="53933" y1="56180" x2="53933" y2="58427"/>
                      <a14:backgroundMark x1="58427" y1="56180" x2="60674" y2="55056"/>
                      <a14:backgroundMark x1="56180" y1="60674" x2="56180" y2="60674"/>
                      <a14:backgroundMark x1="56180" y1="59551" x2="56180" y2="59551"/>
                      <a14:backgroundMark x1="56180" y1="56180" x2="56180" y2="53933"/>
                      <a14:backgroundMark x1="56180" y1="53933" x2="56180" y2="52809"/>
                    </a14:backgroundRemoval>
                  </a14:imgEffect>
                </a14:imgLayer>
              </a14:imgProps>
            </a:ext>
            <a:ext uri="{28A0092B-C50C-407E-A947-70E740481C1C}">
              <a14:useLocalDpi xmlns:a14="http://schemas.microsoft.com/office/drawing/2010/main" val="0"/>
            </a:ext>
          </a:extLst>
        </a:blip>
        <a:stretch>
          <a:fillRect/>
        </a:stretch>
      </xdr:blipFill>
      <xdr:spPr>
        <a:xfrm>
          <a:off x="10953753" y="0"/>
          <a:ext cx="357184" cy="357184"/>
        </a:xfrm>
        <a:prstGeom prst="rect">
          <a:avLst/>
        </a:prstGeom>
      </xdr:spPr>
    </xdr:pic>
    <xdr:clientData/>
  </xdr:twoCellAnchor>
  <xdr:twoCellAnchor editAs="oneCell">
    <xdr:from>
      <xdr:col>16</xdr:col>
      <xdr:colOff>119064</xdr:colOff>
      <xdr:row>0</xdr:row>
      <xdr:rowOff>0</xdr:rowOff>
    </xdr:from>
    <xdr:to>
      <xdr:col>16</xdr:col>
      <xdr:colOff>511970</xdr:colOff>
      <xdr:row>2</xdr:row>
      <xdr:rowOff>11906</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9882189" y="0"/>
          <a:ext cx="392906" cy="392906"/>
        </a:xfrm>
        <a:prstGeom prst="rect">
          <a:avLst/>
        </a:prstGeom>
      </xdr:spPr>
    </xdr:pic>
    <xdr:clientData/>
  </xdr:twoCellAnchor>
  <xdr:twoCellAnchor>
    <xdr:from>
      <xdr:col>15</xdr:col>
      <xdr:colOff>202407</xdr:colOff>
      <xdr:row>8</xdr:row>
      <xdr:rowOff>142875</xdr:rowOff>
    </xdr:from>
    <xdr:to>
      <xdr:col>18</xdr:col>
      <xdr:colOff>523875</xdr:colOff>
      <xdr:row>12</xdr:row>
      <xdr:rowOff>47625</xdr:rowOff>
    </xdr:to>
    <xdr:sp macro="" textlink="">
      <xdr:nvSpPr>
        <xdr:cNvPr id="29" name="Flowchart: Alternate Process 28">
          <a:hlinkClick xmlns:r="http://schemas.openxmlformats.org/officeDocument/2006/relationships" r:id="rId24"/>
          <a:extLst>
            <a:ext uri="{FF2B5EF4-FFF2-40B4-BE49-F238E27FC236}">
              <a16:creationId xmlns:a16="http://schemas.microsoft.com/office/drawing/2014/main" id="{00000000-0008-0000-0500-00001D000000}"/>
            </a:ext>
          </a:extLst>
        </xdr:cNvPr>
        <xdr:cNvSpPr/>
      </xdr:nvSpPr>
      <xdr:spPr>
        <a:xfrm>
          <a:off x="9405938" y="1666875"/>
          <a:ext cx="2143125" cy="666750"/>
        </a:xfrm>
        <a:prstGeom prst="flowChartAlternateProcess">
          <a:avLst/>
        </a:prstGeom>
        <a:solidFill>
          <a:srgbClr val="A2668A"/>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STOCK DETAILS</a:t>
          </a:r>
        </a:p>
      </xdr:txBody>
    </xdr:sp>
    <xdr:clientData/>
  </xdr:twoCellAnchor>
  <xdr:twoCellAnchor>
    <xdr:from>
      <xdr:col>15</xdr:col>
      <xdr:colOff>226218</xdr:colOff>
      <xdr:row>14</xdr:row>
      <xdr:rowOff>47624</xdr:rowOff>
    </xdr:from>
    <xdr:to>
      <xdr:col>16</xdr:col>
      <xdr:colOff>535781</xdr:colOff>
      <xdr:row>16</xdr:row>
      <xdr:rowOff>23812</xdr:rowOff>
    </xdr:to>
    <xdr:sp macro="" textlink="">
      <xdr:nvSpPr>
        <xdr:cNvPr id="10" name="Rectangle 9">
          <a:hlinkClick xmlns:r="http://schemas.openxmlformats.org/officeDocument/2006/relationships" r:id="rId25"/>
          <a:extLst>
            <a:ext uri="{FF2B5EF4-FFF2-40B4-BE49-F238E27FC236}">
              <a16:creationId xmlns:a16="http://schemas.microsoft.com/office/drawing/2014/main" id="{00000000-0008-0000-0500-00000A000000}"/>
            </a:ext>
          </a:extLst>
        </xdr:cNvPr>
        <xdr:cNvSpPr/>
      </xdr:nvSpPr>
      <xdr:spPr>
        <a:xfrm>
          <a:off x="9429749" y="2714624"/>
          <a:ext cx="916782" cy="357188"/>
        </a:xfrm>
        <a:prstGeom prst="rect">
          <a:avLst/>
        </a:prstGeom>
        <a:solidFill>
          <a:srgbClr val="3E22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BACK</a:t>
          </a:r>
        </a:p>
      </xdr:txBody>
    </xdr:sp>
    <xdr:clientData/>
  </xdr:twoCellAnchor>
  <xdr:twoCellAnchor editAs="oneCell">
    <xdr:from>
      <xdr:col>7</xdr:col>
      <xdr:colOff>476249</xdr:colOff>
      <xdr:row>0</xdr:row>
      <xdr:rowOff>0</xdr:rowOff>
    </xdr:from>
    <xdr:to>
      <xdr:col>8</xdr:col>
      <xdr:colOff>535782</xdr:colOff>
      <xdr:row>3</xdr:row>
      <xdr:rowOff>35719</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6" cstate="print">
          <a:extLst>
            <a:ext uri="{BEBA8EAE-BF5A-486C-A8C5-ECC9F3942E4B}">
              <a14:imgProps xmlns:a14="http://schemas.microsoft.com/office/drawing/2010/main">
                <a14:imgLayer r:embed="rId27">
                  <a14:imgEffect>
                    <a14:backgroundRemoval t="10000" b="90000" l="10000" r="90000">
                      <a14:foregroundMark x1="38222" y1="31556" x2="38222" y2="31556"/>
                      <a14:foregroundMark x1="45333" y1="37778" x2="45333" y2="37778"/>
                      <a14:foregroundMark x1="46667" y1="45333" x2="46667" y2="45333"/>
                      <a14:foregroundMark x1="47556" y1="48889" x2="47556" y2="48889"/>
                      <a14:foregroundMark x1="48889" y1="56444" x2="48889" y2="56444"/>
                      <a14:foregroundMark x1="73333" y1="67556" x2="73333" y2="67556"/>
                      <a14:foregroundMark x1="51111" y1="68000" x2="51111" y2="68000"/>
                    </a14:backgroundRemoval>
                  </a14:imgEffect>
                </a14:imgLayer>
              </a14:imgProps>
            </a:ext>
            <a:ext uri="{28A0092B-C50C-407E-A947-70E740481C1C}">
              <a14:useLocalDpi xmlns:a14="http://schemas.microsoft.com/office/drawing/2010/main" val="0"/>
            </a:ext>
          </a:extLst>
        </a:blip>
        <a:stretch>
          <a:fillRect/>
        </a:stretch>
      </xdr:blipFill>
      <xdr:spPr>
        <a:xfrm>
          <a:off x="5643562" y="0"/>
          <a:ext cx="607219" cy="6072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590550</xdr:colOff>
      <xdr:row>0</xdr:row>
      <xdr:rowOff>0</xdr:rowOff>
    </xdr:from>
    <xdr:to>
      <xdr:col>13</xdr:col>
      <xdr:colOff>38100</xdr:colOff>
      <xdr:row>1</xdr:row>
      <xdr:rowOff>152400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1200150" y="0"/>
          <a:ext cx="6762750" cy="342900"/>
        </a:xfrm>
        <a:prstGeom prst="round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Cambria" panose="02040503050406030204" pitchFamily="18" charset="0"/>
            </a:rPr>
            <a:t>SALES BY GENDER</a:t>
          </a:r>
        </a:p>
      </xdr:txBody>
    </xdr:sp>
    <xdr:clientData/>
  </xdr:twoCellAnchor>
  <xdr:twoCellAnchor>
    <xdr:from>
      <xdr:col>5</xdr:col>
      <xdr:colOff>76199</xdr:colOff>
      <xdr:row>2</xdr:row>
      <xdr:rowOff>123825</xdr:rowOff>
    </xdr:from>
    <xdr:to>
      <xdr:col>13</xdr:col>
      <xdr:colOff>9525</xdr:colOff>
      <xdr:row>20</xdr:row>
      <xdr:rowOff>76200</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581025</xdr:colOff>
      <xdr:row>2</xdr:row>
      <xdr:rowOff>152400</xdr:rowOff>
    </xdr:from>
    <xdr:to>
      <xdr:col>4</xdr:col>
      <xdr:colOff>581025</xdr:colOff>
      <xdr:row>7</xdr:row>
      <xdr:rowOff>161925</xdr:rowOff>
    </xdr:to>
    <mc:AlternateContent xmlns:mc="http://schemas.openxmlformats.org/markup-compatibility/2006" xmlns:a14="http://schemas.microsoft.com/office/drawing/2010/main">
      <mc:Choice Requires="a14">
        <xdr:graphicFrame macro="">
          <xdr:nvGraphicFramePr>
            <xdr:cNvPr id="5" name="GENDER">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90625" y="533400"/>
              <a:ext cx="1828800"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381000</xdr:colOff>
      <xdr:row>8</xdr:row>
      <xdr:rowOff>123824</xdr:rowOff>
    </xdr:from>
    <xdr:to>
      <xdr:col>4</xdr:col>
      <xdr:colOff>38100</xdr:colOff>
      <xdr:row>11</xdr:row>
      <xdr:rowOff>171449</xdr:rowOff>
    </xdr:to>
    <xdr:sp macro="" textlink="">
      <xdr:nvSpPr>
        <xdr:cNvPr id="7" name="Arrow: Left 6">
          <a:hlinkClick xmlns:r="http://schemas.openxmlformats.org/officeDocument/2006/relationships" r:id="rId2"/>
          <a:extLst>
            <a:ext uri="{FF2B5EF4-FFF2-40B4-BE49-F238E27FC236}">
              <a16:creationId xmlns:a16="http://schemas.microsoft.com/office/drawing/2014/main" id="{00000000-0008-0000-0600-000007000000}"/>
            </a:ext>
          </a:extLst>
        </xdr:cNvPr>
        <xdr:cNvSpPr/>
      </xdr:nvSpPr>
      <xdr:spPr>
        <a:xfrm>
          <a:off x="1600200" y="1647824"/>
          <a:ext cx="876300" cy="619125"/>
        </a:xfrm>
        <a:prstGeom prst="leftArrow">
          <a:avLst/>
        </a:prstGeom>
        <a:solidFill>
          <a:schemeClr val="accent6">
            <a:lumMod val="60000"/>
            <a:lumOff val="40000"/>
          </a:schemeClr>
        </a:solidFill>
        <a:ln>
          <a:solidFill>
            <a:schemeClr val="accent6">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100" b="1">
              <a:solidFill>
                <a:schemeClr val="accent6">
                  <a:lumMod val="50000"/>
                </a:schemeClr>
              </a:solidFill>
            </a:rPr>
            <a:t>BACK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200025</xdr:colOff>
      <xdr:row>0</xdr:row>
      <xdr:rowOff>57150</xdr:rowOff>
    </xdr:from>
    <xdr:to>
      <xdr:col>12</xdr:col>
      <xdr:colOff>38100</xdr:colOff>
      <xdr:row>2</xdr:row>
      <xdr:rowOff>57150</xdr:rowOff>
    </xdr:to>
    <xdr:sp macro="" textlink="">
      <xdr:nvSpPr>
        <xdr:cNvPr id="2" name="Rectangle: Rounded Corners 1">
          <a:extLst>
            <a:ext uri="{FF2B5EF4-FFF2-40B4-BE49-F238E27FC236}">
              <a16:creationId xmlns:a16="http://schemas.microsoft.com/office/drawing/2014/main" id="{00000000-0008-0000-0700-000002000000}"/>
            </a:ext>
          </a:extLst>
        </xdr:cNvPr>
        <xdr:cNvSpPr/>
      </xdr:nvSpPr>
      <xdr:spPr>
        <a:xfrm>
          <a:off x="809625" y="57150"/>
          <a:ext cx="6543675" cy="381000"/>
        </a:xfrm>
        <a:prstGeom prst="roundRect">
          <a:avLst/>
        </a:prstGeom>
        <a:solidFill>
          <a:srgbClr val="7030A0"/>
        </a:solidFill>
        <a:ln>
          <a:noFill/>
        </a:ln>
        <a:effectLst>
          <a:glow rad="101600">
            <a:schemeClr val="accent5">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2"/>
              </a:solidFill>
              <a:latin typeface="Cambria" panose="02040503050406030204" pitchFamily="18" charset="0"/>
            </a:rPr>
            <a:t>SALES BY SEGMENT</a:t>
          </a:r>
        </a:p>
      </xdr:txBody>
    </xdr:sp>
    <xdr:clientData/>
  </xdr:twoCellAnchor>
  <xdr:twoCellAnchor editAs="oneCell">
    <xdr:from>
      <xdr:col>1</xdr:col>
      <xdr:colOff>219075</xdr:colOff>
      <xdr:row>2</xdr:row>
      <xdr:rowOff>171450</xdr:rowOff>
    </xdr:from>
    <xdr:to>
      <xdr:col>4</xdr:col>
      <xdr:colOff>219075</xdr:colOff>
      <xdr:row>9</xdr:row>
      <xdr:rowOff>85725</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828675" y="552450"/>
              <a:ext cx="1828800" cy="1247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314323</xdr:colOff>
      <xdr:row>2</xdr:row>
      <xdr:rowOff>161924</xdr:rowOff>
    </xdr:from>
    <xdr:to>
      <xdr:col>12</xdr:col>
      <xdr:colOff>28575</xdr:colOff>
      <xdr:row>20</xdr:row>
      <xdr:rowOff>19049</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542925</xdr:colOff>
      <xdr:row>10</xdr:row>
      <xdr:rowOff>123825</xdr:rowOff>
    </xdr:from>
    <xdr:to>
      <xdr:col>3</xdr:col>
      <xdr:colOff>180975</xdr:colOff>
      <xdr:row>14</xdr:row>
      <xdr:rowOff>38100</xdr:rowOff>
    </xdr:to>
    <xdr:sp macro="" textlink="">
      <xdr:nvSpPr>
        <xdr:cNvPr id="7" name="Arrow: Left 6">
          <a:hlinkClick xmlns:r="http://schemas.openxmlformats.org/officeDocument/2006/relationships" r:id="rId2"/>
          <a:extLst>
            <a:ext uri="{FF2B5EF4-FFF2-40B4-BE49-F238E27FC236}">
              <a16:creationId xmlns:a16="http://schemas.microsoft.com/office/drawing/2014/main" id="{00000000-0008-0000-0700-000007000000}"/>
            </a:ext>
          </a:extLst>
        </xdr:cNvPr>
        <xdr:cNvSpPr/>
      </xdr:nvSpPr>
      <xdr:spPr>
        <a:xfrm>
          <a:off x="1152525" y="2028825"/>
          <a:ext cx="857250" cy="676275"/>
        </a:xfrm>
        <a:prstGeom prst="leftArrow">
          <a:avLst/>
        </a:prstGeom>
        <a:solidFill>
          <a:srgbClr val="7030A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314325</xdr:colOff>
      <xdr:row>0</xdr:row>
      <xdr:rowOff>19050</xdr:rowOff>
    </xdr:from>
    <xdr:to>
      <xdr:col>12</xdr:col>
      <xdr:colOff>400050</xdr:colOff>
      <xdr:row>2</xdr:row>
      <xdr:rowOff>0</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923925" y="19050"/>
          <a:ext cx="6791325" cy="361950"/>
        </a:xfrm>
        <a:prstGeom prst="roundRect">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Cambria" panose="02040503050406030204" pitchFamily="18" charset="0"/>
            </a:rPr>
            <a:t>SALES BY REGION</a:t>
          </a:r>
        </a:p>
      </xdr:txBody>
    </xdr:sp>
    <xdr:clientData/>
  </xdr:twoCellAnchor>
  <xdr:twoCellAnchor>
    <xdr:from>
      <xdr:col>4</xdr:col>
      <xdr:colOff>438149</xdr:colOff>
      <xdr:row>2</xdr:row>
      <xdr:rowOff>104774</xdr:rowOff>
    </xdr:from>
    <xdr:to>
      <xdr:col>12</xdr:col>
      <xdr:colOff>400050</xdr:colOff>
      <xdr:row>20</xdr:row>
      <xdr:rowOff>114300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333375</xdr:colOff>
      <xdr:row>2</xdr:row>
      <xdr:rowOff>104775</xdr:rowOff>
    </xdr:from>
    <xdr:to>
      <xdr:col>4</xdr:col>
      <xdr:colOff>333375</xdr:colOff>
      <xdr:row>10</xdr:row>
      <xdr:rowOff>19050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42975" y="485775"/>
              <a:ext cx="182880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142871</xdr:colOff>
      <xdr:row>11</xdr:row>
      <xdr:rowOff>85725</xdr:rowOff>
    </xdr:from>
    <xdr:to>
      <xdr:col>3</xdr:col>
      <xdr:colOff>314324</xdr:colOff>
      <xdr:row>14</xdr:row>
      <xdr:rowOff>85725</xdr:rowOff>
    </xdr:to>
    <xdr:sp macro="" textlink="">
      <xdr:nvSpPr>
        <xdr:cNvPr id="5" name="Arrow: Right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flipH="1">
          <a:off x="1362071" y="2181225"/>
          <a:ext cx="781053" cy="5715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133350</xdr:colOff>
      <xdr:row>0</xdr:row>
      <xdr:rowOff>47625</xdr:rowOff>
    </xdr:from>
    <xdr:to>
      <xdr:col>15</xdr:col>
      <xdr:colOff>19050</xdr:colOff>
      <xdr:row>2</xdr:row>
      <xdr:rowOff>0</xdr:rowOff>
    </xdr:to>
    <xdr:sp macro="" textlink="">
      <xdr:nvSpPr>
        <xdr:cNvPr id="2" name="Rectangle: Rounded Corners 1">
          <a:extLst>
            <a:ext uri="{FF2B5EF4-FFF2-40B4-BE49-F238E27FC236}">
              <a16:creationId xmlns:a16="http://schemas.microsoft.com/office/drawing/2014/main" id="{00000000-0008-0000-0900-000002000000}"/>
            </a:ext>
          </a:extLst>
        </xdr:cNvPr>
        <xdr:cNvSpPr/>
      </xdr:nvSpPr>
      <xdr:spPr>
        <a:xfrm>
          <a:off x="133350" y="47625"/>
          <a:ext cx="9029700" cy="333375"/>
        </a:xfrm>
        <a:prstGeom prst="roundRect">
          <a:avLst/>
        </a:prstGeom>
        <a:solidFill>
          <a:srgbClr val="A4A365"/>
        </a:solidFill>
        <a:ln>
          <a:noFill/>
        </a:ln>
        <a:effectLst>
          <a:glow rad="63500">
            <a:schemeClr val="accent2">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Cambria" panose="02040503050406030204" pitchFamily="18" charset="0"/>
            </a:rPr>
            <a:t>SALES BY CITY</a:t>
          </a:r>
        </a:p>
      </xdr:txBody>
    </xdr:sp>
    <xdr:clientData/>
  </xdr:twoCellAnchor>
  <xdr:twoCellAnchor>
    <xdr:from>
      <xdr:col>5</xdr:col>
      <xdr:colOff>19049</xdr:colOff>
      <xdr:row>20</xdr:row>
      <xdr:rowOff>123825</xdr:rowOff>
    </xdr:from>
    <xdr:to>
      <xdr:col>6</xdr:col>
      <xdr:colOff>142874</xdr:colOff>
      <xdr:row>23</xdr:row>
      <xdr:rowOff>47625</xdr:rowOff>
    </xdr:to>
    <xdr:sp macro="" textlink="">
      <xdr:nvSpPr>
        <xdr:cNvPr id="5" name="Arrow: Right 4">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flipH="1">
          <a:off x="3067049" y="3933825"/>
          <a:ext cx="733425" cy="495300"/>
        </a:xfrm>
        <a:prstGeom prst="rightArrow">
          <a:avLst/>
        </a:prstGeom>
        <a:solidFill>
          <a:srgbClr val="A4A365"/>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BACK</a:t>
          </a:r>
        </a:p>
      </xdr:txBody>
    </xdr:sp>
    <xdr:clientData/>
  </xdr:twoCellAnchor>
  <xdr:twoCellAnchor>
    <xdr:from>
      <xdr:col>6</xdr:col>
      <xdr:colOff>323849</xdr:colOff>
      <xdr:row>2</xdr:row>
      <xdr:rowOff>95251</xdr:rowOff>
    </xdr:from>
    <xdr:to>
      <xdr:col>14</xdr:col>
      <xdr:colOff>600075</xdr:colOff>
      <xdr:row>22</xdr:row>
      <xdr:rowOff>133350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133350</xdr:colOff>
      <xdr:row>2</xdr:row>
      <xdr:rowOff>123825</xdr:rowOff>
    </xdr:from>
    <xdr:to>
      <xdr:col>6</xdr:col>
      <xdr:colOff>238125</xdr:colOff>
      <xdr:row>20</xdr:row>
      <xdr:rowOff>123825</xdr:rowOff>
    </xdr:to>
    <mc:AlternateContent xmlns:mc="http://schemas.openxmlformats.org/markup-compatibility/2006" xmlns:a14="http://schemas.microsoft.com/office/drawing/2010/main">
      <mc:Choice Requires="a14">
        <xdr:graphicFrame macro="">
          <xdr:nvGraphicFramePr>
            <xdr:cNvPr id="8" name="CITY 1">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33350" y="504825"/>
              <a:ext cx="3762375" cy="342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66675</xdr:colOff>
      <xdr:row>0</xdr:row>
      <xdr:rowOff>47625</xdr:rowOff>
    </xdr:from>
    <xdr:to>
      <xdr:col>12</xdr:col>
      <xdr:colOff>571500</xdr:colOff>
      <xdr:row>2</xdr:row>
      <xdr:rowOff>38100</xdr:rowOff>
    </xdr:to>
    <xdr:sp macro="" textlink="">
      <xdr:nvSpPr>
        <xdr:cNvPr id="2" name="Rectangle: Rounded Corners 1">
          <a:extLst>
            <a:ext uri="{FF2B5EF4-FFF2-40B4-BE49-F238E27FC236}">
              <a16:creationId xmlns:a16="http://schemas.microsoft.com/office/drawing/2014/main" id="{00000000-0008-0000-0A00-000002000000}"/>
            </a:ext>
          </a:extLst>
        </xdr:cNvPr>
        <xdr:cNvSpPr/>
      </xdr:nvSpPr>
      <xdr:spPr>
        <a:xfrm>
          <a:off x="1285875" y="47625"/>
          <a:ext cx="6600825" cy="371475"/>
        </a:xfrm>
        <a:prstGeom prst="roundRect">
          <a:avLst/>
        </a:prstGeom>
        <a:solidFill>
          <a:srgbClr val="CF5239"/>
        </a:solidFill>
        <a:ln>
          <a:noFill/>
        </a:ln>
        <a:effectLst>
          <a:glow rad="63500">
            <a:schemeClr val="accent2">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Cambria" panose="02040503050406030204" pitchFamily="18" charset="0"/>
            </a:rPr>
            <a:t>SALES</a:t>
          </a:r>
          <a:r>
            <a:rPr lang="en-US" sz="1400" baseline="0">
              <a:solidFill>
                <a:schemeClr val="bg1"/>
              </a:solidFill>
              <a:latin typeface="Cambria" panose="02040503050406030204" pitchFamily="18" charset="0"/>
            </a:rPr>
            <a:t> BY MONTH</a:t>
          </a:r>
          <a:endParaRPr lang="en-US" sz="1400">
            <a:solidFill>
              <a:schemeClr val="bg1"/>
            </a:solidFill>
            <a:latin typeface="Cambria" panose="02040503050406030204" pitchFamily="18" charset="0"/>
          </a:endParaRPr>
        </a:p>
      </xdr:txBody>
    </xdr:sp>
    <xdr:clientData/>
  </xdr:twoCellAnchor>
  <xdr:twoCellAnchor>
    <xdr:from>
      <xdr:col>5</xdr:col>
      <xdr:colOff>190499</xdr:colOff>
      <xdr:row>3</xdr:row>
      <xdr:rowOff>28575</xdr:rowOff>
    </xdr:from>
    <xdr:to>
      <xdr:col>12</xdr:col>
      <xdr:colOff>581024</xdr:colOff>
      <xdr:row>21</xdr:row>
      <xdr:rowOff>19050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28575</xdr:colOff>
      <xdr:row>3</xdr:row>
      <xdr:rowOff>0</xdr:rowOff>
    </xdr:from>
    <xdr:to>
      <xdr:col>5</xdr:col>
      <xdr:colOff>28575</xdr:colOff>
      <xdr:row>14</xdr:row>
      <xdr:rowOff>142875</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47775" y="57150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380999</xdr:colOff>
      <xdr:row>15</xdr:row>
      <xdr:rowOff>180975</xdr:rowOff>
    </xdr:from>
    <xdr:to>
      <xdr:col>4</xdr:col>
      <xdr:colOff>57146</xdr:colOff>
      <xdr:row>19</xdr:row>
      <xdr:rowOff>28575</xdr:rowOff>
    </xdr:to>
    <xdr:sp macro="" textlink="">
      <xdr:nvSpPr>
        <xdr:cNvPr id="5" name="Arrow: Right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flipH="1">
          <a:off x="1600199" y="3038475"/>
          <a:ext cx="895347" cy="609600"/>
        </a:xfrm>
        <a:prstGeom prst="rightArrow">
          <a:avLst/>
        </a:prstGeom>
        <a:solidFill>
          <a:srgbClr val="CF5239"/>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BACK</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552450</xdr:colOff>
      <xdr:row>0</xdr:row>
      <xdr:rowOff>9525</xdr:rowOff>
    </xdr:from>
    <xdr:to>
      <xdr:col>7</xdr:col>
      <xdr:colOff>571500</xdr:colOff>
      <xdr:row>2</xdr:row>
      <xdr:rowOff>180975</xdr:rowOff>
    </xdr:to>
    <xdr:sp macro="" textlink="">
      <xdr:nvSpPr>
        <xdr:cNvPr id="2" name="Rectangle: Rounded Corners 1">
          <a:extLst>
            <a:ext uri="{FF2B5EF4-FFF2-40B4-BE49-F238E27FC236}">
              <a16:creationId xmlns:a16="http://schemas.microsoft.com/office/drawing/2014/main" id="{00000000-0008-0000-0B00-000002000000}"/>
            </a:ext>
          </a:extLst>
        </xdr:cNvPr>
        <xdr:cNvSpPr/>
      </xdr:nvSpPr>
      <xdr:spPr>
        <a:xfrm>
          <a:off x="1162050" y="9525"/>
          <a:ext cx="6362700" cy="552450"/>
        </a:xfrm>
        <a:prstGeom prst="roundRect">
          <a:avLst/>
        </a:prstGeom>
        <a:solidFill>
          <a:schemeClr val="accent2">
            <a:lumMod val="50000"/>
          </a:schemeClr>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Cambria" panose="02040503050406030204" pitchFamily="18" charset="0"/>
            </a:rPr>
            <a:t>TOP 10 PRODUCTS</a:t>
          </a:r>
        </a:p>
      </xdr:txBody>
    </xdr:sp>
    <xdr:clientData/>
  </xdr:twoCellAnchor>
  <xdr:twoCellAnchor editAs="oneCell">
    <xdr:from>
      <xdr:col>4</xdr:col>
      <xdr:colOff>123824</xdr:colOff>
      <xdr:row>4</xdr:row>
      <xdr:rowOff>9525</xdr:rowOff>
    </xdr:from>
    <xdr:to>
      <xdr:col>7</xdr:col>
      <xdr:colOff>266699</xdr:colOff>
      <xdr:row>14</xdr:row>
      <xdr:rowOff>0</xdr:rowOff>
    </xdr:to>
    <mc:AlternateContent xmlns:mc="http://schemas.openxmlformats.org/markup-compatibility/2006" xmlns:a14="http://schemas.microsoft.com/office/drawing/2010/main">
      <mc:Choice Requires="a14">
        <xdr:graphicFrame macro="">
          <xdr:nvGraphicFramePr>
            <xdr:cNvPr id="3" name="MONTH 1">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248274" y="771525"/>
              <a:ext cx="1971675" cy="2276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104775</xdr:colOff>
      <xdr:row>14</xdr:row>
      <xdr:rowOff>38101</xdr:rowOff>
    </xdr:from>
    <xdr:to>
      <xdr:col>5</xdr:col>
      <xdr:colOff>352425</xdr:colOff>
      <xdr:row>15</xdr:row>
      <xdr:rowOff>133351</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a:off x="3781425" y="3086101"/>
          <a:ext cx="857250" cy="323850"/>
        </a:xfrm>
        <a:prstGeom prst="flowChartAlternateProcess">
          <a:avLst/>
        </a:prstGeom>
        <a:solidFill>
          <a:schemeClr val="accent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BACK</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63500</xdr:colOff>
      <xdr:row>0</xdr:row>
      <xdr:rowOff>19050</xdr:rowOff>
    </xdr:from>
    <xdr:to>
      <xdr:col>8</xdr:col>
      <xdr:colOff>325437</xdr:colOff>
      <xdr:row>2</xdr:row>
      <xdr:rowOff>38100</xdr:rowOff>
    </xdr:to>
    <xdr:sp macro=""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74688" y="19050"/>
          <a:ext cx="5262562" cy="400050"/>
        </a:xfrm>
        <a:prstGeom prst="roundRect">
          <a:avLst/>
        </a:prstGeom>
        <a:solidFill>
          <a:srgbClr val="A2668A"/>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Cambria" panose="02040503050406030204" pitchFamily="18" charset="0"/>
            </a:rPr>
            <a:t>TOP 10 CUSTOMERS</a:t>
          </a:r>
        </a:p>
      </xdr:txBody>
    </xdr:sp>
    <xdr:clientData/>
  </xdr:twoCellAnchor>
  <xdr:twoCellAnchor editAs="oneCell">
    <xdr:from>
      <xdr:col>4</xdr:col>
      <xdr:colOff>350838</xdr:colOff>
      <xdr:row>4</xdr:row>
      <xdr:rowOff>15873</xdr:rowOff>
    </xdr:from>
    <xdr:to>
      <xdr:col>7</xdr:col>
      <xdr:colOff>238124</xdr:colOff>
      <xdr:row>16</xdr:row>
      <xdr:rowOff>23810</xdr:rowOff>
    </xdr:to>
    <mc:AlternateContent xmlns:mc="http://schemas.openxmlformats.org/markup-compatibility/2006" xmlns:a14="http://schemas.microsoft.com/office/drawing/2010/main">
      <mc:Choice Requires="a14">
        <xdr:graphicFrame macro="">
          <xdr:nvGraphicFramePr>
            <xdr:cNvPr id="3" name="MONTH 4">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3089276" y="619123"/>
              <a:ext cx="1720848" cy="22939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828676</xdr:colOff>
      <xdr:row>17</xdr:row>
      <xdr:rowOff>84139</xdr:rowOff>
    </xdr:from>
    <xdr:to>
      <xdr:col>5</xdr:col>
      <xdr:colOff>150812</xdr:colOff>
      <xdr:row>19</xdr:row>
      <xdr:rowOff>9524</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2667001" y="3160714"/>
          <a:ext cx="827086" cy="306385"/>
        </a:xfrm>
        <a:prstGeom prst="flowChartAlternateProcess">
          <a:avLst/>
        </a:prstGeom>
        <a:solidFill>
          <a:srgbClr val="3E22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BACK</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23812</xdr:colOff>
      <xdr:row>0</xdr:row>
      <xdr:rowOff>23812</xdr:rowOff>
    </xdr:from>
    <xdr:to>
      <xdr:col>2</xdr:col>
      <xdr:colOff>773906</xdr:colOff>
      <xdr:row>1</xdr:row>
      <xdr:rowOff>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3812" y="23812"/>
          <a:ext cx="2667000" cy="500063"/>
        </a:xfrm>
        <a:prstGeom prst="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PURCHASE</a:t>
          </a:r>
        </a:p>
      </xdr:txBody>
    </xdr:sp>
    <xdr:clientData/>
  </xdr:twoCellAnchor>
  <xdr:twoCellAnchor>
    <xdr:from>
      <xdr:col>3</xdr:col>
      <xdr:colOff>23812</xdr:colOff>
      <xdr:row>0</xdr:row>
      <xdr:rowOff>23812</xdr:rowOff>
    </xdr:from>
    <xdr:to>
      <xdr:col>5</xdr:col>
      <xdr:colOff>821531</xdr:colOff>
      <xdr:row>1</xdr:row>
      <xdr:rowOff>0</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2726531" y="23812"/>
          <a:ext cx="3048000" cy="500063"/>
        </a:xfrm>
        <a:prstGeom prst="rect">
          <a:avLst/>
        </a:prstGeom>
        <a:solidFill>
          <a:srgbClr val="CA620C"/>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SALES</a:t>
          </a:r>
        </a:p>
      </xdr:txBody>
    </xdr:sp>
    <xdr:clientData/>
  </xdr:twoCellAnchor>
  <xdr:twoCellAnchor>
    <xdr:from>
      <xdr:col>6</xdr:col>
      <xdr:colOff>23812</xdr:colOff>
      <xdr:row>0</xdr:row>
      <xdr:rowOff>11906</xdr:rowOff>
    </xdr:from>
    <xdr:to>
      <xdr:col>12</xdr:col>
      <xdr:colOff>0</xdr:colOff>
      <xdr:row>0</xdr:row>
      <xdr:rowOff>511969</xdr:rowOff>
    </xdr:to>
    <xdr:sp macro="" textlink="">
      <xdr:nvSpPr>
        <xdr:cNvPr id="4" name="Rectangle 3">
          <a:extLst>
            <a:ext uri="{FF2B5EF4-FFF2-40B4-BE49-F238E27FC236}">
              <a16:creationId xmlns:a16="http://schemas.microsoft.com/office/drawing/2014/main" id="{00000000-0008-0000-0D00-000004000000}"/>
            </a:ext>
          </a:extLst>
        </xdr:cNvPr>
        <xdr:cNvSpPr/>
      </xdr:nvSpPr>
      <xdr:spPr>
        <a:xfrm>
          <a:off x="5810250" y="11906"/>
          <a:ext cx="5095875" cy="500063"/>
        </a:xfrm>
        <a:prstGeom prst="rect">
          <a:avLst/>
        </a:prstGeom>
        <a:solidFill>
          <a:schemeClr val="accent6">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STOCK</a:t>
          </a:r>
        </a:p>
      </xdr:txBody>
    </xdr:sp>
    <xdr:clientData/>
  </xdr:twoCellAnchor>
  <xdr:twoCellAnchor>
    <xdr:from>
      <xdr:col>12</xdr:col>
      <xdr:colOff>23812</xdr:colOff>
      <xdr:row>0</xdr:row>
      <xdr:rowOff>527277</xdr:rowOff>
    </xdr:from>
    <xdr:to>
      <xdr:col>13</xdr:col>
      <xdr:colOff>380999</xdr:colOff>
      <xdr:row>3</xdr:row>
      <xdr:rowOff>103755</xdr:rowOff>
    </xdr:to>
    <xdr:sp macro="" textlink="">
      <xdr:nvSpPr>
        <xdr:cNvPr id="5" name="Flowchart: Alternate Process 4">
          <a:hlinkClick xmlns:r="http://schemas.openxmlformats.org/officeDocument/2006/relationships" r:id="rId1"/>
          <a:extLst>
            <a:ext uri="{FF2B5EF4-FFF2-40B4-BE49-F238E27FC236}">
              <a16:creationId xmlns:a16="http://schemas.microsoft.com/office/drawing/2014/main" id="{00000000-0008-0000-0D00-000005000000}"/>
            </a:ext>
          </a:extLst>
        </xdr:cNvPr>
        <xdr:cNvSpPr/>
      </xdr:nvSpPr>
      <xdr:spPr>
        <a:xfrm>
          <a:off x="11426598" y="527277"/>
          <a:ext cx="969508" cy="488157"/>
        </a:xfrm>
        <a:prstGeom prst="flowChartAlternateProcess">
          <a:avLst/>
        </a:prstGeom>
        <a:solidFill>
          <a:srgbClr val="00206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BACK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3" refreshedDate="45505.392675578703" createdVersion="6" refreshedVersion="6" minRefreshableVersion="3" recordCount="99" xr:uid="{E2451F5D-0D50-47FA-88F5-CFF65181DCF3}">
  <cacheSource type="worksheet">
    <worksheetSource ref="A1:M100" sheet="DATA"/>
  </cacheSource>
  <cacheFields count="13">
    <cacheField name="DATE" numFmtId="0">
      <sharedItems containsDate="1" containsMixedTypes="1" minDate="2024-01-01T00:00:00" maxDate="2024-12-07T00:00:00"/>
    </cacheField>
    <cacheField name="CUSTOMER ID" numFmtId="0">
      <sharedItems/>
    </cacheField>
    <cacheField name="CUSTOMER NAME" numFmtId="0">
      <sharedItems count="66">
        <s v="JOHN DOE"/>
        <s v="JANE SMITH"/>
        <s v="MICHAEL JOHNSON"/>
        <s v="EMILY DAVIS"/>
        <s v="DAVID WILSON"/>
        <s v="SARAH BROWN"/>
        <s v="LISA MILLER"/>
        <s v="ROBERT GARCIA"/>
        <s v="AMANDA WHITE"/>
        <s v="SARAH   "/>
        <s v="AARAV SHARMA"/>
        <s v="SIYA GUPTA"/>
        <s v="REYANSH SINGH"/>
        <s v="AADHYA"/>
        <s v="ADVIK"/>
        <s v="ANIKA"/>
        <s v="ANANYA"/>
        <s v="VIVAAN"/>
        <s v="GEORGE"/>
        <s v="ARJUN"/>
        <s v="ZOYA"/>
        <s v="AYAAN"/>
        <s v="AMAIRA"/>
        <s v="NORIN "/>
        <s v="SAFNA"/>
        <s v="SANIYA"/>
        <s v="SHAHANA"/>
        <s v="SHADIYA"/>
        <s v="SHAMNA"/>
        <s v="NAHOOFA SHARIN"/>
        <s v="SHAMLEENA"/>
        <s v="DAKSHA"/>
        <s v="ZAIN"/>
        <s v="ISHAL"/>
        <s v="AYMA "/>
        <s v="SHAHEENA"/>
        <s v="SHAHMINA"/>
        <s v="SHIRIN"/>
        <s v="NAJID"/>
        <s v="SAFNA SABITH"/>
        <s v="NOURIN"/>
        <s v="SHAHAL"/>
        <s v="SHINURAJ"/>
        <s v="SREELAKSHMI"/>
        <s v="SCARLET"/>
        <s v="JOHN"/>
        <s v="SMITH"/>
        <s v="RAHEEM"/>
        <s v="SEREENA"/>
        <s v="ZAHRA ALI"/>
        <s v="FATHIMA"/>
        <s v="LAILA"/>
        <s v="LISA  "/>
        <s v="JENNY"/>
        <s v="ROSE"/>
        <s v="JISOO"/>
        <s v="JEENA"/>
        <s v="AARADHYA"/>
        <s v="AHALYA"/>
        <s v="DWANI"/>
        <s v="WILLIAM"/>
        <s v="TOM "/>
        <s v="LIAM"/>
        <s v="HARRY"/>
        <s v="THOMAS"/>
        <s v="TEENA"/>
      </sharedItems>
    </cacheField>
    <cacheField name="GENDER" numFmtId="0">
      <sharedItems count="2">
        <s v="MALE"/>
        <s v="FEMALE"/>
      </sharedItems>
    </cacheField>
    <cacheField name="SEGMENT" numFmtId="0">
      <sharedItems count="3">
        <s v="CORPORATE"/>
        <s v="CONSUMER"/>
        <s v="HOME OFFICE"/>
      </sharedItems>
    </cacheField>
    <cacheField name="PRODUCT ID" numFmtId="0">
      <sharedItems count="46">
        <s v="P001"/>
        <s v="P004"/>
        <s v="P006"/>
        <s v="P011"/>
        <s v="P014"/>
        <s v="P065"/>
        <s v="P098"/>
        <s v="P066"/>
        <s v="P025"/>
        <s v="P087"/>
        <s v="P009"/>
        <s v="P008"/>
        <s v="P010"/>
        <s v="P085"/>
        <s v="P017"/>
        <s v="P020"/>
        <s v="P002"/>
        <s v="P003"/>
        <s v="P019"/>
        <s v="P062"/>
        <s v="P092"/>
        <s v="P112"/>
        <s v="P432"/>
        <s v="P990"/>
        <s v="P090"/>
        <s v="P076"/>
        <s v="P023"/>
        <s v="P086"/>
        <s v="P054"/>
        <s v="P007"/>
        <s v="P948"/>
        <s v="P987"/>
        <s v="P906"/>
        <s v="P786"/>
        <s v="P322"/>
        <s v="P012"/>
        <s v="P015"/>
        <s v="P024"/>
        <s v="P356"/>
        <s v="P028"/>
        <s v="P114"/>
        <s v="P074"/>
        <s v="P005"/>
        <s v="P013"/>
        <s v="P032"/>
        <s v="P132"/>
      </sharedItems>
    </cacheField>
    <cacheField name="PRODUCT NAME" numFmtId="0">
      <sharedItems count="63">
        <s v="OAT MEAL"/>
        <s v="APPLE"/>
        <s v="BANANA"/>
        <s v="MILK"/>
        <s v="CHEESE"/>
        <s v="YOGURT"/>
        <s v="BUTTER"/>
        <s v="FLOUR"/>
        <s v="PASTA"/>
        <s v="PORK CHOP"/>
        <s v="MUFFINS"/>
        <s v="SALT"/>
        <s v="PANCAKE MIX"/>
        <s v="CEREAL"/>
        <s v="NUTS"/>
        <s v="LAUNDRY DETERGENT"/>
        <s v="BODY WASH"/>
        <s v="AIR FRESHNER"/>
        <s v="BATTERIES"/>
        <s v="PET FOOD"/>
        <s v="BIRD SEED"/>
        <s v="LIGHT BULBS"/>
        <s v="PET SHAMPOOS"/>
        <s v="RAISINS"/>
        <s v="SYRUP"/>
        <s v="GRANOLA"/>
        <s v="POTATO CHIPS"/>
        <s v="PRETZELS"/>
        <s v="KETCHUP"/>
        <s v="FROZZEN WAFFLES"/>
        <s v="FROZEN PIZZA"/>
        <s v="TOOTHPASTE"/>
        <s v="FABRIC SOFTNER"/>
        <s v="SOAP"/>
        <s v="HONEY"/>
        <s v="BBQ SAUCE"/>
        <s v="FROZZEN BURRITOS"/>
        <s v="DEODORANT"/>
        <s v="TRASH BAGS"/>
        <s v="CAT LITTER"/>
        <s v="OLIVE OIL"/>
        <s v="MAYONNAISE"/>
        <s v="EGGS"/>
        <s v="VITAMINE SUPPLYMENTS"/>
        <s v="DOG TOYS"/>
        <s v="TEA"/>
        <s v="SODA"/>
        <s v="RICE"/>
        <s v="SALMON"/>
        <s v="CHICKEN BREAST"/>
        <s v="LETTUCE"/>
        <s v="GRAPES"/>
        <s v="GROUND BEEF"/>
        <s v="BREAD"/>
        <s v="ORANGE"/>
        <s v="BAGELS"/>
        <s v="ICE CREAM"/>
        <s v="COOKING SPRAY"/>
        <s v="PAPER TOWELS"/>
        <s v="MUSTARD"/>
        <s v="CONDITIONER"/>
        <s v="CLEANING SPRAY"/>
        <s v="SUNFLOWER SEEDS"/>
      </sharedItems>
    </cacheField>
    <cacheField name="QUANTITY" numFmtId="0">
      <sharedItems containsSemiMixedTypes="0" containsString="0" containsNumber="1" containsInteger="1" minValue="10" maxValue="901"/>
    </cacheField>
    <cacheField name="PRICE(INR)" numFmtId="0">
      <sharedItems containsSemiMixedTypes="0" containsString="0" containsNumber="1" minValue="0.4" maxValue="8"/>
    </cacheField>
    <cacheField name="SALES" numFmtId="0">
      <sharedItems containsSemiMixedTypes="0" containsString="0" containsNumber="1" minValue="24" maxValue="4200"/>
    </cacheField>
    <cacheField name="CITY" numFmtId="0">
      <sharedItems count="43">
        <s v="CHENNAI"/>
        <s v="KOLKATA"/>
        <s v="PUNE"/>
        <s v="AHMEDABAD"/>
        <s v="LUCKNOW"/>
        <s v="KANPUR"/>
        <s v="NAGPUR"/>
        <s v="INDORE"/>
        <s v="PATNA"/>
        <s v="VADADORA"/>
        <s v="NASHIK"/>
        <s v="MEERUT"/>
        <s v="CHANDIGARH"/>
        <s v="GUWAHATI"/>
        <s v="MADURAI"/>
        <s v="NOIDA"/>
        <s v="THANE"/>
        <s v="DELHI"/>
        <s v="RANCHI"/>
        <s v="ALIGARH"/>
        <s v="UDAIPUR"/>
        <s v="BHILAI"/>
        <s v="MANGALORE"/>
        <s v="VARANASI"/>
        <s v="AGRA"/>
        <s v="RAIKOT"/>
        <s v="KAKINADA"/>
        <s v="HYDERABAD"/>
        <s v="MUMBAI"/>
        <s v="JAIPUR"/>
        <s v="SURAT"/>
        <s v="BANGALORE"/>
        <s v="BHOPAL"/>
        <s v="VADODARA"/>
        <s v="RAJKOT"/>
        <s v="COIMBATORE"/>
        <s v="MYSORE"/>
        <s v="SOLAPUR"/>
        <s v="SRINAGAR"/>
        <s v="JODHPUR"/>
        <s v="BILASPUR"/>
        <s v="VISAKHA PATTANAM"/>
        <s v="TGHANE"/>
      </sharedItems>
    </cacheField>
    <cacheField name="REGION" numFmtId="0">
      <sharedItems count="4">
        <s v="NORTH"/>
        <s v="SOUTH"/>
        <s v="WEST"/>
        <s v="EAST"/>
      </sharedItems>
    </cacheField>
    <cacheField name="MONTH" numFmtId="0">
      <sharedItems count="7">
        <s v="JAN"/>
        <s v="FEB"/>
        <s v="MAR "/>
        <s v="APRIL"/>
        <s v="MAY"/>
        <s v="JUNE"/>
        <s v="JULY"/>
      </sharedItems>
    </cacheField>
  </cacheFields>
  <extLst>
    <ext xmlns:x14="http://schemas.microsoft.com/office/spreadsheetml/2009/9/main" uri="{725AE2AE-9491-48be-B2B4-4EB974FC3084}">
      <x14:pivotCacheDefinition pivotCacheId="184881614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3" refreshedDate="45506.534930902781" createdVersion="6" refreshedVersion="6" minRefreshableVersion="3" recordCount="99" xr:uid="{151F2283-420C-48C8-9240-34F4B210BDE8}">
  <cacheSource type="worksheet">
    <worksheetSource name="Table1"/>
  </cacheSource>
  <cacheFields count="12">
    <cacheField name="DATE" numFmtId="0">
      <sharedItems containsDate="1" containsMixedTypes="1" minDate="2024-01-01T00:00:00" maxDate="2024-12-07T00:00:00"/>
    </cacheField>
    <cacheField name="CUSTOMER ID" numFmtId="0">
      <sharedItems/>
    </cacheField>
    <cacheField name="CUSTOMER NAME" numFmtId="0">
      <sharedItems/>
    </cacheField>
    <cacheField name="GENDER" numFmtId="0">
      <sharedItems count="2">
        <s v="MALE"/>
        <s v="FEMALE"/>
      </sharedItems>
    </cacheField>
    <cacheField name="SEGMENT" numFmtId="0">
      <sharedItems count="3">
        <s v="CORPORATE"/>
        <s v="CONSUMER"/>
        <s v="HOME OFFICE"/>
      </sharedItems>
    </cacheField>
    <cacheField name="PRODUCT ID" numFmtId="0">
      <sharedItems/>
    </cacheField>
    <cacheField name="PRODUCT NAME" numFmtId="0">
      <sharedItems/>
    </cacheField>
    <cacheField name="QUANTITY" numFmtId="0">
      <sharedItems containsSemiMixedTypes="0" containsString="0" containsNumber="1" containsInteger="1" minValue="10" maxValue="901"/>
    </cacheField>
    <cacheField name="PRICE(INR)" numFmtId="0">
      <sharedItems containsSemiMixedTypes="0" containsString="0" containsNumber="1" minValue="0.4" maxValue="8"/>
    </cacheField>
    <cacheField name="SALES" numFmtId="0">
      <sharedItems containsSemiMixedTypes="0" containsString="0" containsNumber="1" minValue="24" maxValue="4200"/>
    </cacheField>
    <cacheField name="CITY" numFmtId="0">
      <sharedItems count="43">
        <s v="CHENNAI"/>
        <s v="KOLKATA"/>
        <s v="PUNE"/>
        <s v="AHMEDABAD"/>
        <s v="LUCKNOW"/>
        <s v="KANPUR"/>
        <s v="NAGPUR"/>
        <s v="INDORE"/>
        <s v="PATNA"/>
        <s v="VADADORA"/>
        <s v="NASHIK"/>
        <s v="MEERUT"/>
        <s v="CHANDIGARH"/>
        <s v="GUWAHATI"/>
        <s v="MADURAI"/>
        <s v="NOIDA"/>
        <s v="THANE"/>
        <s v="DELHI"/>
        <s v="RANCHI"/>
        <s v="ALIGARH"/>
        <s v="UDAIPUR"/>
        <s v="BHILAI"/>
        <s v="MANGALORE"/>
        <s v="VARANASI"/>
        <s v="AGRA"/>
        <s v="RAIKOT"/>
        <s v="KAKINADA"/>
        <s v="HYDERABAD"/>
        <s v="MUMBAI"/>
        <s v="JAIPUR"/>
        <s v="SURAT"/>
        <s v="BANGALORE"/>
        <s v="BHOPAL"/>
        <s v="VADODARA"/>
        <s v="RAJKOT"/>
        <s v="COIMBATORE"/>
        <s v="MYSORE"/>
        <s v="SOLAPUR"/>
        <s v="SRINAGAR"/>
        <s v="JODHPUR"/>
        <s v="BILASPUR"/>
        <s v="VISAKHA PATTANAM"/>
        <s v="TGHANE"/>
      </sharedItems>
    </cacheField>
    <cacheField name="REGION" numFmtId="0">
      <sharedItems/>
    </cacheField>
  </cacheFields>
  <extLst>
    <ext xmlns:x14="http://schemas.microsoft.com/office/spreadsheetml/2009/9/main" uri="{725AE2AE-9491-48be-B2B4-4EB974FC3084}">
      <x14:pivotCacheDefinition pivotCacheId="1834182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d v="2024-01-01T00:00:00"/>
    <s v="CS001"/>
    <x v="0"/>
    <x v="0"/>
    <x v="0"/>
    <x v="0"/>
    <x v="0"/>
    <n v="80"/>
    <n v="1.2"/>
    <n v="96"/>
    <x v="0"/>
    <x v="0"/>
    <x v="0"/>
  </r>
  <r>
    <d v="2024-01-01T00:00:00"/>
    <s v="CS002"/>
    <x v="1"/>
    <x v="0"/>
    <x v="1"/>
    <x v="1"/>
    <x v="1"/>
    <n v="100"/>
    <n v="0.5"/>
    <n v="50"/>
    <x v="1"/>
    <x v="1"/>
    <x v="0"/>
  </r>
  <r>
    <d v="2024-02-01T00:00:00"/>
    <s v="CS003"/>
    <x v="2"/>
    <x v="0"/>
    <x v="2"/>
    <x v="2"/>
    <x v="2"/>
    <n v="150"/>
    <n v="0.8"/>
    <n v="120"/>
    <x v="2"/>
    <x v="1"/>
    <x v="0"/>
  </r>
  <r>
    <d v="2024-02-01T00:00:00"/>
    <s v="CS004"/>
    <x v="3"/>
    <x v="1"/>
    <x v="1"/>
    <x v="3"/>
    <x v="3"/>
    <n v="80"/>
    <n v="2"/>
    <n v="160"/>
    <x v="3"/>
    <x v="0"/>
    <x v="0"/>
  </r>
  <r>
    <d v="2024-02-01T00:00:00"/>
    <s v="CS005"/>
    <x v="4"/>
    <x v="0"/>
    <x v="1"/>
    <x v="4"/>
    <x v="4"/>
    <n v="200"/>
    <n v="0.6"/>
    <n v="120"/>
    <x v="4"/>
    <x v="2"/>
    <x v="0"/>
  </r>
  <r>
    <d v="2024-02-01T00:00:00"/>
    <s v="CS006"/>
    <x v="5"/>
    <x v="1"/>
    <x v="1"/>
    <x v="5"/>
    <x v="5"/>
    <n v="60"/>
    <n v="0.4"/>
    <n v="24"/>
    <x v="5"/>
    <x v="3"/>
    <x v="0"/>
  </r>
  <r>
    <d v="2024-03-01T00:00:00"/>
    <s v="CS007"/>
    <x v="6"/>
    <x v="1"/>
    <x v="0"/>
    <x v="6"/>
    <x v="6"/>
    <n v="80"/>
    <n v="1"/>
    <n v="80"/>
    <x v="6"/>
    <x v="0"/>
    <x v="0"/>
  </r>
  <r>
    <s v="16/1/2024"/>
    <s v="CS008"/>
    <x v="7"/>
    <x v="0"/>
    <x v="2"/>
    <x v="7"/>
    <x v="7"/>
    <n v="300"/>
    <n v="3"/>
    <n v="900"/>
    <x v="7"/>
    <x v="1"/>
    <x v="0"/>
  </r>
  <r>
    <s v="20/1/2024"/>
    <s v="CS009"/>
    <x v="8"/>
    <x v="1"/>
    <x v="1"/>
    <x v="8"/>
    <x v="8"/>
    <n v="100"/>
    <n v="5.2"/>
    <n v="520"/>
    <x v="8"/>
    <x v="2"/>
    <x v="0"/>
  </r>
  <r>
    <d v="2024-02-02T00:00:00"/>
    <s v="CS001"/>
    <x v="0"/>
    <x v="0"/>
    <x v="0"/>
    <x v="9"/>
    <x v="9"/>
    <n v="100"/>
    <n v="3.2"/>
    <n v="320"/>
    <x v="0"/>
    <x v="3"/>
    <x v="1"/>
  </r>
  <r>
    <d v="2024-05-02T00:00:00"/>
    <s v="CS010"/>
    <x v="3"/>
    <x v="1"/>
    <x v="1"/>
    <x v="0"/>
    <x v="0"/>
    <n v="200"/>
    <n v="1.2"/>
    <n v="240"/>
    <x v="9"/>
    <x v="3"/>
    <x v="1"/>
  </r>
  <r>
    <d v="2024-03-02T00:00:00"/>
    <s v="CS011"/>
    <x v="9"/>
    <x v="1"/>
    <x v="1"/>
    <x v="10"/>
    <x v="10"/>
    <n v="32"/>
    <n v="2.5"/>
    <n v="80"/>
    <x v="10"/>
    <x v="3"/>
    <x v="1"/>
  </r>
  <r>
    <d v="2024-04-02T00:00:00"/>
    <s v="CS012"/>
    <x v="10"/>
    <x v="0"/>
    <x v="1"/>
    <x v="0"/>
    <x v="0"/>
    <n v="100"/>
    <n v="1.2"/>
    <n v="120"/>
    <x v="11"/>
    <x v="2"/>
    <x v="1"/>
  </r>
  <r>
    <s v="15/2/2024"/>
    <s v="CS013"/>
    <x v="11"/>
    <x v="1"/>
    <x v="2"/>
    <x v="0"/>
    <x v="0"/>
    <n v="200"/>
    <n v="1.2"/>
    <n v="240"/>
    <x v="12"/>
    <x v="0"/>
    <x v="1"/>
  </r>
  <r>
    <s v="16/2/2024"/>
    <s v="CS014"/>
    <x v="12"/>
    <x v="0"/>
    <x v="0"/>
    <x v="11"/>
    <x v="11"/>
    <n v="100"/>
    <n v="0.5"/>
    <n v="50"/>
    <x v="2"/>
    <x v="1"/>
    <x v="1"/>
  </r>
  <r>
    <s v="22/2/2024"/>
    <s v="CS015"/>
    <x v="13"/>
    <x v="1"/>
    <x v="2"/>
    <x v="10"/>
    <x v="10"/>
    <n v="32"/>
    <n v="2.5"/>
    <n v="80"/>
    <x v="2"/>
    <x v="2"/>
    <x v="1"/>
  </r>
  <r>
    <s v="28/2/224"/>
    <s v="CS016"/>
    <x v="14"/>
    <x v="0"/>
    <x v="2"/>
    <x v="10"/>
    <x v="10"/>
    <n v="69"/>
    <n v="2.5"/>
    <n v="172.5"/>
    <x v="13"/>
    <x v="3"/>
    <x v="1"/>
  </r>
  <r>
    <d v="2024-11-03T00:00:00"/>
    <s v="CS017"/>
    <x v="15"/>
    <x v="1"/>
    <x v="1"/>
    <x v="12"/>
    <x v="12"/>
    <n v="200"/>
    <n v="3.2"/>
    <n v="640"/>
    <x v="14"/>
    <x v="0"/>
    <x v="2"/>
  </r>
  <r>
    <d v="2024-12-03T00:00:00"/>
    <s v="CS018"/>
    <x v="16"/>
    <x v="1"/>
    <x v="1"/>
    <x v="3"/>
    <x v="3"/>
    <n v="200"/>
    <n v="2"/>
    <n v="400"/>
    <x v="15"/>
    <x v="1"/>
    <x v="2"/>
  </r>
  <r>
    <s v="13/3/2024"/>
    <s v="CS019"/>
    <x v="17"/>
    <x v="0"/>
    <x v="1"/>
    <x v="13"/>
    <x v="13"/>
    <n v="300"/>
    <n v="4.2"/>
    <n v="1260"/>
    <x v="15"/>
    <x v="3"/>
    <x v="2"/>
  </r>
  <r>
    <s v="14/3/2024"/>
    <s v="CS001"/>
    <x v="0"/>
    <x v="0"/>
    <x v="0"/>
    <x v="14"/>
    <x v="14"/>
    <n v="40"/>
    <n v="3.6"/>
    <n v="144"/>
    <x v="16"/>
    <x v="2"/>
    <x v="2"/>
  </r>
  <r>
    <s v="18/3/2024"/>
    <s v="CS002"/>
    <x v="1"/>
    <x v="0"/>
    <x v="1"/>
    <x v="15"/>
    <x v="15"/>
    <n v="30"/>
    <n v="2"/>
    <n v="60"/>
    <x v="2"/>
    <x v="0"/>
    <x v="2"/>
  </r>
  <r>
    <s v="19/3/2024"/>
    <s v="CS013"/>
    <x v="18"/>
    <x v="0"/>
    <x v="2"/>
    <x v="0"/>
    <x v="0"/>
    <n v="100"/>
    <n v="1.2"/>
    <n v="120"/>
    <x v="15"/>
    <x v="1"/>
    <x v="2"/>
  </r>
  <r>
    <s v="20/3/2024"/>
    <s v="CS005"/>
    <x v="4"/>
    <x v="0"/>
    <x v="1"/>
    <x v="0"/>
    <x v="0"/>
    <n v="100"/>
    <n v="1.2"/>
    <n v="120"/>
    <x v="17"/>
    <x v="3"/>
    <x v="2"/>
  </r>
  <r>
    <d v="2024-01-04T00:00:00"/>
    <s v="CS006"/>
    <x v="5"/>
    <x v="1"/>
    <x v="1"/>
    <x v="16"/>
    <x v="16"/>
    <n v="200"/>
    <n v="1.6"/>
    <n v="320"/>
    <x v="0"/>
    <x v="2"/>
    <x v="3"/>
  </r>
  <r>
    <d v="2024-02-04T00:00:00"/>
    <s v="CS007"/>
    <x v="6"/>
    <x v="1"/>
    <x v="0"/>
    <x v="17"/>
    <x v="17"/>
    <n v="80"/>
    <n v="3"/>
    <n v="240"/>
    <x v="1"/>
    <x v="2"/>
    <x v="3"/>
  </r>
  <r>
    <d v="2024-03-04T00:00:00"/>
    <s v="CS014"/>
    <x v="19"/>
    <x v="0"/>
    <x v="2"/>
    <x v="1"/>
    <x v="18"/>
    <n v="70"/>
    <n v="5"/>
    <n v="350"/>
    <x v="18"/>
    <x v="2"/>
    <x v="3"/>
  </r>
  <r>
    <d v="2024-04-04T00:00:00"/>
    <s v="CS015"/>
    <x v="20"/>
    <x v="1"/>
    <x v="2"/>
    <x v="10"/>
    <x v="10"/>
    <n v="15"/>
    <n v="2.5"/>
    <n v="37.5"/>
    <x v="15"/>
    <x v="3"/>
    <x v="3"/>
  </r>
  <r>
    <d v="2024-05-04T00:00:00"/>
    <s v="CS010"/>
    <x v="3"/>
    <x v="1"/>
    <x v="1"/>
    <x v="11"/>
    <x v="11"/>
    <n v="800"/>
    <n v="0.5"/>
    <n v="400"/>
    <x v="19"/>
    <x v="3"/>
    <x v="3"/>
  </r>
  <r>
    <d v="2024-06-04T00:00:00"/>
    <s v="CS009"/>
    <x v="8"/>
    <x v="1"/>
    <x v="1"/>
    <x v="18"/>
    <x v="19"/>
    <n v="901"/>
    <n v="2"/>
    <n v="1802"/>
    <x v="20"/>
    <x v="0"/>
    <x v="3"/>
  </r>
  <r>
    <d v="2024-07-04T00:00:00"/>
    <s v="CS016"/>
    <x v="21"/>
    <x v="0"/>
    <x v="0"/>
    <x v="19"/>
    <x v="20"/>
    <n v="206"/>
    <n v="6"/>
    <n v="1236"/>
    <x v="21"/>
    <x v="1"/>
    <x v="3"/>
  </r>
  <r>
    <d v="2024-08-04T00:00:00"/>
    <s v="CS017"/>
    <x v="22"/>
    <x v="1"/>
    <x v="1"/>
    <x v="20"/>
    <x v="21"/>
    <n v="209"/>
    <n v="2.1"/>
    <n v="438.90000000000003"/>
    <x v="5"/>
    <x v="3"/>
    <x v="3"/>
  </r>
  <r>
    <d v="2024-11-04T00:00:00"/>
    <s v="CS010"/>
    <x v="3"/>
    <x v="1"/>
    <x v="1"/>
    <x v="2"/>
    <x v="22"/>
    <n v="600"/>
    <n v="3"/>
    <n v="1800"/>
    <x v="15"/>
    <x v="2"/>
    <x v="3"/>
  </r>
  <r>
    <s v="15/4/2024"/>
    <s v="CS001"/>
    <x v="0"/>
    <x v="0"/>
    <x v="0"/>
    <x v="21"/>
    <x v="23"/>
    <n v="211"/>
    <n v="1.2"/>
    <n v="253.2"/>
    <x v="22"/>
    <x v="0"/>
    <x v="3"/>
  </r>
  <r>
    <s v="20/4/2024"/>
    <s v="SC003"/>
    <x v="2"/>
    <x v="0"/>
    <x v="2"/>
    <x v="22"/>
    <x v="24"/>
    <n v="243"/>
    <n v="1.5"/>
    <n v="364.5"/>
    <x v="15"/>
    <x v="0"/>
    <x v="3"/>
  </r>
  <r>
    <s v="25/4/2024"/>
    <s v="CS002"/>
    <x v="1"/>
    <x v="0"/>
    <x v="1"/>
    <x v="23"/>
    <x v="25"/>
    <n v="99"/>
    <n v="0.6"/>
    <n v="59.4"/>
    <x v="0"/>
    <x v="0"/>
    <x v="3"/>
  </r>
  <r>
    <s v="26/4/2024"/>
    <s v="CS005"/>
    <x v="4"/>
    <x v="0"/>
    <x v="1"/>
    <x v="24"/>
    <x v="26"/>
    <n v="100"/>
    <n v="0.8"/>
    <n v="80"/>
    <x v="1"/>
    <x v="2"/>
    <x v="3"/>
  </r>
  <r>
    <s v="27/4/2024"/>
    <s v="CS018"/>
    <x v="23"/>
    <x v="1"/>
    <x v="1"/>
    <x v="9"/>
    <x v="9"/>
    <n v="708"/>
    <n v="2"/>
    <n v="1416"/>
    <x v="14"/>
    <x v="2"/>
    <x v="3"/>
  </r>
  <r>
    <s v="28/4/2024"/>
    <s v="CS019"/>
    <x v="24"/>
    <x v="1"/>
    <x v="2"/>
    <x v="25"/>
    <x v="27"/>
    <n v="607"/>
    <n v="1.6"/>
    <n v="971.2"/>
    <x v="23"/>
    <x v="1"/>
    <x v="3"/>
  </r>
  <r>
    <d v="2024-01-05T00:00:00"/>
    <s v="CS020"/>
    <x v="25"/>
    <x v="1"/>
    <x v="1"/>
    <x v="26"/>
    <x v="28"/>
    <n v="302"/>
    <n v="1.4"/>
    <n v="422.79999999999995"/>
    <x v="24"/>
    <x v="3"/>
    <x v="4"/>
  </r>
  <r>
    <d v="2024-02-05T00:00:00"/>
    <s v="CS021"/>
    <x v="26"/>
    <x v="1"/>
    <x v="0"/>
    <x v="6"/>
    <x v="29"/>
    <n v="809"/>
    <n v="1.6"/>
    <n v="1294.4000000000001"/>
    <x v="2"/>
    <x v="1"/>
    <x v="4"/>
  </r>
  <r>
    <d v="2024-03-05T00:00:00"/>
    <s v="CS022"/>
    <x v="27"/>
    <x v="1"/>
    <x v="1"/>
    <x v="0"/>
    <x v="0"/>
    <n v="100"/>
    <n v="1.2"/>
    <n v="120"/>
    <x v="1"/>
    <x v="2"/>
    <x v="4"/>
  </r>
  <r>
    <d v="2024-04-05T00:00:00"/>
    <s v="CS023"/>
    <x v="28"/>
    <x v="1"/>
    <x v="1"/>
    <x v="12"/>
    <x v="30"/>
    <n v="50"/>
    <n v="3"/>
    <n v="150"/>
    <x v="15"/>
    <x v="3"/>
    <x v="4"/>
  </r>
  <r>
    <d v="2024-05-05T00:00:00"/>
    <s v="CS024"/>
    <x v="29"/>
    <x v="1"/>
    <x v="1"/>
    <x v="10"/>
    <x v="10"/>
    <n v="87"/>
    <n v="2.5"/>
    <n v="217.5"/>
    <x v="22"/>
    <x v="0"/>
    <x v="4"/>
  </r>
  <r>
    <d v="2024-06-05T00:00:00"/>
    <s v="CS025"/>
    <x v="30"/>
    <x v="1"/>
    <x v="0"/>
    <x v="0"/>
    <x v="0"/>
    <n v="214"/>
    <n v="1.2"/>
    <n v="256.8"/>
    <x v="0"/>
    <x v="2"/>
    <x v="4"/>
  </r>
  <r>
    <d v="2024-07-05T00:00:00"/>
    <s v="CS001"/>
    <x v="0"/>
    <x v="0"/>
    <x v="0"/>
    <x v="21"/>
    <x v="23"/>
    <n v="54"/>
    <n v="2"/>
    <n v="108"/>
    <x v="17"/>
    <x v="1"/>
    <x v="4"/>
  </r>
  <r>
    <d v="2024-11-05T00:00:00"/>
    <s v="CS007"/>
    <x v="6"/>
    <x v="1"/>
    <x v="0"/>
    <x v="27"/>
    <x v="31"/>
    <n v="65"/>
    <n v="3"/>
    <n v="195"/>
    <x v="2"/>
    <x v="0"/>
    <x v="4"/>
  </r>
  <r>
    <d v="2024-12-05T00:00:00"/>
    <s v="CS016"/>
    <x v="14"/>
    <x v="0"/>
    <x v="1"/>
    <x v="28"/>
    <x v="32"/>
    <n v="54"/>
    <n v="4"/>
    <n v="216"/>
    <x v="25"/>
    <x v="2"/>
    <x v="4"/>
  </r>
  <r>
    <s v="13/5/2024"/>
    <s v="CS026"/>
    <x v="31"/>
    <x v="1"/>
    <x v="1"/>
    <x v="17"/>
    <x v="33"/>
    <n v="10"/>
    <n v="5"/>
    <n v="50"/>
    <x v="15"/>
    <x v="1"/>
    <x v="4"/>
  </r>
  <r>
    <s v="14/5/2024"/>
    <s v="CS027"/>
    <x v="32"/>
    <x v="0"/>
    <x v="2"/>
    <x v="29"/>
    <x v="34"/>
    <n v="100"/>
    <n v="2.1"/>
    <n v="210"/>
    <x v="18"/>
    <x v="0"/>
    <x v="4"/>
  </r>
  <r>
    <s v="15/5/2024"/>
    <s v="CS028"/>
    <x v="33"/>
    <x v="1"/>
    <x v="1"/>
    <x v="30"/>
    <x v="35"/>
    <n v="25"/>
    <n v="1.2"/>
    <n v="30"/>
    <x v="18"/>
    <x v="0"/>
    <x v="4"/>
  </r>
  <r>
    <s v="16/5/2024"/>
    <s v="CS029"/>
    <x v="34"/>
    <x v="1"/>
    <x v="1"/>
    <x v="31"/>
    <x v="36"/>
    <n v="78"/>
    <n v="3"/>
    <n v="234"/>
    <x v="26"/>
    <x v="0"/>
    <x v="4"/>
  </r>
  <r>
    <s v="17/5/2004"/>
    <s v="CS030"/>
    <x v="35"/>
    <x v="1"/>
    <x v="1"/>
    <x v="2"/>
    <x v="22"/>
    <n v="54"/>
    <n v="4.0999999999999996"/>
    <n v="221.39999999999998"/>
    <x v="1"/>
    <x v="1"/>
    <x v="4"/>
  </r>
  <r>
    <s v="18/5/2024"/>
    <s v="CS005"/>
    <x v="4"/>
    <x v="0"/>
    <x v="1"/>
    <x v="32"/>
    <x v="37"/>
    <n v="68"/>
    <n v="2.1"/>
    <n v="142.80000000000001"/>
    <x v="27"/>
    <x v="2"/>
    <x v="4"/>
  </r>
  <r>
    <s v="19/5/2024"/>
    <s v="CS003"/>
    <x v="2"/>
    <x v="0"/>
    <x v="2"/>
    <x v="21"/>
    <x v="23"/>
    <n v="211"/>
    <n v="1.2"/>
    <n v="253.2"/>
    <x v="28"/>
    <x v="0"/>
    <x v="4"/>
  </r>
  <r>
    <s v="20/5/2024"/>
    <s v="CS031"/>
    <x v="36"/>
    <x v="1"/>
    <x v="1"/>
    <x v="33"/>
    <x v="38"/>
    <n v="678"/>
    <n v="2.2999999999999998"/>
    <n v="1559.3999999999999"/>
    <x v="28"/>
    <x v="3"/>
    <x v="4"/>
  </r>
  <r>
    <s v="27/5/2024"/>
    <s v="CS032"/>
    <x v="37"/>
    <x v="1"/>
    <x v="0"/>
    <x v="34"/>
    <x v="39"/>
    <n v="232"/>
    <n v="2"/>
    <n v="464"/>
    <x v="0"/>
    <x v="2"/>
    <x v="4"/>
  </r>
  <r>
    <s v="28/5/2024"/>
    <s v="CS033"/>
    <x v="38"/>
    <x v="0"/>
    <x v="0"/>
    <x v="35"/>
    <x v="40"/>
    <n v="201"/>
    <n v="3"/>
    <n v="603"/>
    <x v="2"/>
    <x v="1"/>
    <x v="4"/>
  </r>
  <r>
    <s v="29/5/2024"/>
    <s v="CS034"/>
    <x v="39"/>
    <x v="1"/>
    <x v="1"/>
    <x v="36"/>
    <x v="41"/>
    <n v="501"/>
    <n v="5"/>
    <n v="2505"/>
    <x v="15"/>
    <x v="0"/>
    <x v="4"/>
  </r>
  <r>
    <s v="30/5/2024"/>
    <s v="CS020"/>
    <x v="25"/>
    <x v="1"/>
    <x v="1"/>
    <x v="37"/>
    <x v="42"/>
    <n v="402"/>
    <n v="4"/>
    <n v="1608"/>
    <x v="29"/>
    <x v="0"/>
    <x v="4"/>
  </r>
  <r>
    <s v="31/5/2024"/>
    <s v="CS036"/>
    <x v="40"/>
    <x v="1"/>
    <x v="1"/>
    <x v="35"/>
    <x v="40"/>
    <n v="201"/>
    <n v="3"/>
    <n v="603"/>
    <x v="30"/>
    <x v="1"/>
    <x v="4"/>
  </r>
  <r>
    <d v="2024-01-06T00:00:00"/>
    <s v="CS037"/>
    <x v="41"/>
    <x v="0"/>
    <x v="1"/>
    <x v="31"/>
    <x v="43"/>
    <n v="798"/>
    <n v="2"/>
    <n v="1596"/>
    <x v="31"/>
    <x v="1"/>
    <x v="5"/>
  </r>
  <r>
    <d v="2024-02-06T00:00:00"/>
    <s v="CS038"/>
    <x v="42"/>
    <x v="1"/>
    <x v="2"/>
    <x v="38"/>
    <x v="44"/>
    <n v="635"/>
    <n v="1.6"/>
    <n v="1016"/>
    <x v="17"/>
    <x v="2"/>
    <x v="5"/>
  </r>
  <r>
    <d v="2024-03-06T00:00:00"/>
    <s v="CS039"/>
    <x v="43"/>
    <x v="1"/>
    <x v="2"/>
    <x v="39"/>
    <x v="45"/>
    <n v="802"/>
    <n v="3"/>
    <n v="2406"/>
    <x v="2"/>
    <x v="2"/>
    <x v="5"/>
  </r>
  <r>
    <d v="2024-04-06T00:00:00"/>
    <s v="CS001"/>
    <x v="0"/>
    <x v="0"/>
    <x v="0"/>
    <x v="35"/>
    <x v="40"/>
    <n v="201"/>
    <n v="3"/>
    <n v="603"/>
    <x v="15"/>
    <x v="2"/>
    <x v="5"/>
  </r>
  <r>
    <d v="2024-05-06T00:00:00"/>
    <s v="CS006"/>
    <x v="5"/>
    <x v="1"/>
    <x v="1"/>
    <x v="4"/>
    <x v="46"/>
    <n v="401"/>
    <n v="3.2"/>
    <n v="1283.2"/>
    <x v="1"/>
    <x v="2"/>
    <x v="5"/>
  </r>
  <r>
    <d v="2024-06-06T00:00:00"/>
    <s v="CS007"/>
    <x v="6"/>
    <x v="1"/>
    <x v="0"/>
    <x v="8"/>
    <x v="47"/>
    <n v="502"/>
    <n v="1.6"/>
    <n v="803.2"/>
    <x v="0"/>
    <x v="0"/>
    <x v="5"/>
  </r>
  <r>
    <d v="2024-07-06T00:00:00"/>
    <s v="CS018"/>
    <x v="16"/>
    <x v="1"/>
    <x v="1"/>
    <x v="0"/>
    <x v="0"/>
    <n v="100"/>
    <n v="1.2"/>
    <n v="120"/>
    <x v="4"/>
    <x v="1"/>
    <x v="5"/>
  </r>
  <r>
    <s v="8/6/20224"/>
    <s v="CS019"/>
    <x v="17"/>
    <x v="0"/>
    <x v="1"/>
    <x v="40"/>
    <x v="48"/>
    <n v="411"/>
    <n v="3"/>
    <n v="1233"/>
    <x v="6"/>
    <x v="2"/>
    <x v="5"/>
  </r>
  <r>
    <d v="2024-11-06T00:00:00"/>
    <s v="CS040"/>
    <x v="44"/>
    <x v="1"/>
    <x v="1"/>
    <x v="41"/>
    <x v="49"/>
    <n v="407"/>
    <n v="4"/>
    <n v="1628"/>
    <x v="32"/>
    <x v="1"/>
    <x v="5"/>
  </r>
  <r>
    <d v="2024-12-06T00:00:00"/>
    <s v="CS041"/>
    <x v="45"/>
    <x v="0"/>
    <x v="1"/>
    <x v="35"/>
    <x v="40"/>
    <n v="201"/>
    <n v="3"/>
    <n v="603"/>
    <x v="7"/>
    <x v="2"/>
    <x v="5"/>
  </r>
  <r>
    <s v="13/6/2024"/>
    <s v="CS042"/>
    <x v="46"/>
    <x v="0"/>
    <x v="0"/>
    <x v="0"/>
    <x v="0"/>
    <n v="100"/>
    <n v="5"/>
    <n v="500"/>
    <x v="8"/>
    <x v="3"/>
    <x v="5"/>
  </r>
  <r>
    <s v="14/6/2024"/>
    <s v="CS043"/>
    <x v="47"/>
    <x v="0"/>
    <x v="1"/>
    <x v="16"/>
    <x v="50"/>
    <n v="200"/>
    <n v="8"/>
    <n v="1600"/>
    <x v="23"/>
    <x v="0"/>
    <x v="5"/>
  </r>
  <r>
    <s v="15/6/2024"/>
    <s v="CS045"/>
    <x v="48"/>
    <x v="1"/>
    <x v="2"/>
    <x v="17"/>
    <x v="26"/>
    <n v="70"/>
    <n v="2"/>
    <n v="140"/>
    <x v="33"/>
    <x v="1"/>
    <x v="5"/>
  </r>
  <r>
    <s v="17/6/2024"/>
    <s v="CS010"/>
    <x v="3"/>
    <x v="1"/>
    <x v="1"/>
    <x v="1"/>
    <x v="1"/>
    <n v="400"/>
    <n v="4"/>
    <n v="1600"/>
    <x v="11"/>
    <x v="2"/>
    <x v="5"/>
  </r>
  <r>
    <s v="18/6/2024"/>
    <s v="CS046"/>
    <x v="49"/>
    <x v="1"/>
    <x v="1"/>
    <x v="42"/>
    <x v="51"/>
    <n v="500"/>
    <n v="6"/>
    <n v="3000"/>
    <x v="34"/>
    <x v="3"/>
    <x v="5"/>
  </r>
  <r>
    <s v="19/6/2024"/>
    <s v="CS047"/>
    <x v="50"/>
    <x v="1"/>
    <x v="1"/>
    <x v="2"/>
    <x v="52"/>
    <n v="600"/>
    <n v="7"/>
    <n v="4200"/>
    <x v="35"/>
    <x v="0"/>
    <x v="5"/>
  </r>
  <r>
    <s v="20/6/2024"/>
    <s v="CS048"/>
    <x v="51"/>
    <x v="1"/>
    <x v="1"/>
    <x v="29"/>
    <x v="53"/>
    <n v="100"/>
    <n v="3"/>
    <n v="300"/>
    <x v="14"/>
    <x v="1"/>
    <x v="5"/>
  </r>
  <r>
    <s v="21/6/2024"/>
    <s v="CS049"/>
    <x v="52"/>
    <x v="1"/>
    <x v="2"/>
    <x v="11"/>
    <x v="11"/>
    <n v="800"/>
    <n v="0.5"/>
    <n v="400"/>
    <x v="28"/>
    <x v="2"/>
    <x v="5"/>
  </r>
  <r>
    <s v="22/6/2024"/>
    <s v="CS050"/>
    <x v="53"/>
    <x v="1"/>
    <x v="2"/>
    <x v="10"/>
    <x v="10"/>
    <n v="78"/>
    <n v="2.5"/>
    <n v="195"/>
    <x v="15"/>
    <x v="2"/>
    <x v="5"/>
  </r>
  <r>
    <s v="23/6/2024"/>
    <s v="CS051"/>
    <x v="54"/>
    <x v="1"/>
    <x v="0"/>
    <x v="12"/>
    <x v="54"/>
    <n v="80"/>
    <n v="5"/>
    <n v="400"/>
    <x v="36"/>
    <x v="1"/>
    <x v="5"/>
  </r>
  <r>
    <s v="27/6/2024"/>
    <s v="CS052"/>
    <x v="55"/>
    <x v="1"/>
    <x v="1"/>
    <x v="3"/>
    <x v="3"/>
    <n v="56"/>
    <n v="2"/>
    <n v="112"/>
    <x v="16"/>
    <x v="1"/>
    <x v="5"/>
  </r>
  <r>
    <s v="28/6/2024"/>
    <s v="CS053"/>
    <x v="56"/>
    <x v="1"/>
    <x v="1"/>
    <x v="35"/>
    <x v="40"/>
    <n v="38"/>
    <n v="3"/>
    <n v="114"/>
    <x v="18"/>
    <x v="0"/>
    <x v="5"/>
  </r>
  <r>
    <s v="29/6/2024"/>
    <s v="CS001"/>
    <x v="0"/>
    <x v="0"/>
    <x v="0"/>
    <x v="43"/>
    <x v="55"/>
    <n v="100"/>
    <n v="2"/>
    <n v="200"/>
    <x v="37"/>
    <x v="3"/>
    <x v="5"/>
  </r>
  <r>
    <s v="30/6/2024"/>
    <s v="CS054"/>
    <x v="57"/>
    <x v="1"/>
    <x v="1"/>
    <x v="4"/>
    <x v="56"/>
    <n v="78"/>
    <n v="1.2"/>
    <n v="93.6"/>
    <x v="38"/>
    <x v="2"/>
    <x v="5"/>
  </r>
  <r>
    <d v="2024-01-07T00:00:00"/>
    <s v="CS055"/>
    <x v="58"/>
    <x v="1"/>
    <x v="1"/>
    <x v="28"/>
    <x v="57"/>
    <n v="57"/>
    <n v="2.5"/>
    <n v="142.5"/>
    <x v="39"/>
    <x v="1"/>
    <x v="6"/>
  </r>
  <r>
    <d v="2024-02-07T00:00:00"/>
    <s v="CS056"/>
    <x v="59"/>
    <x v="1"/>
    <x v="1"/>
    <x v="0"/>
    <x v="0"/>
    <n v="32"/>
    <n v="1.2"/>
    <n v="38.4"/>
    <x v="40"/>
    <x v="1"/>
    <x v="6"/>
  </r>
  <r>
    <d v="2024-03-07T00:00:00"/>
    <s v="CS057"/>
    <x v="60"/>
    <x v="0"/>
    <x v="1"/>
    <x v="42"/>
    <x v="58"/>
    <n v="98"/>
    <n v="3"/>
    <n v="294"/>
    <x v="5"/>
    <x v="0"/>
    <x v="6"/>
  </r>
  <r>
    <s v="4/72024"/>
    <s v="CS058"/>
    <x v="61"/>
    <x v="0"/>
    <x v="1"/>
    <x v="10"/>
    <x v="10"/>
    <n v="56"/>
    <n v="2.5"/>
    <n v="140"/>
    <x v="0"/>
    <x v="3"/>
    <x v="6"/>
  </r>
  <r>
    <d v="2024-05-07T00:00:00"/>
    <s v="CS002"/>
    <x v="1"/>
    <x v="0"/>
    <x v="1"/>
    <x v="42"/>
    <x v="58"/>
    <n v="45"/>
    <n v="2"/>
    <n v="90"/>
    <x v="1"/>
    <x v="3"/>
    <x v="6"/>
  </r>
  <r>
    <s v="15/7/2024"/>
    <s v="CS008"/>
    <x v="7"/>
    <x v="0"/>
    <x v="2"/>
    <x v="35"/>
    <x v="40"/>
    <n v="80"/>
    <n v="3"/>
    <n v="240"/>
    <x v="28"/>
    <x v="3"/>
    <x v="6"/>
  </r>
  <r>
    <s v="16/7/2024"/>
    <s v="CS060"/>
    <x v="62"/>
    <x v="0"/>
    <x v="1"/>
    <x v="35"/>
    <x v="40"/>
    <n v="70"/>
    <n v="3"/>
    <n v="210"/>
    <x v="15"/>
    <x v="0"/>
    <x v="6"/>
  </r>
  <r>
    <s v="17/7/2024"/>
    <s v="CS061"/>
    <x v="63"/>
    <x v="0"/>
    <x v="1"/>
    <x v="4"/>
    <x v="56"/>
    <n v="52"/>
    <n v="3"/>
    <n v="156"/>
    <x v="17"/>
    <x v="1"/>
    <x v="6"/>
  </r>
  <r>
    <s v="18/7/2024"/>
    <s v="CS062"/>
    <x v="32"/>
    <x v="0"/>
    <x v="1"/>
    <x v="44"/>
    <x v="59"/>
    <n v="203"/>
    <n v="2"/>
    <n v="406"/>
    <x v="41"/>
    <x v="3"/>
    <x v="6"/>
  </r>
  <r>
    <s v="19/7/2024"/>
    <s v="CS063"/>
    <x v="64"/>
    <x v="0"/>
    <x v="1"/>
    <x v="31"/>
    <x v="60"/>
    <n v="32"/>
    <n v="1.5"/>
    <n v="48"/>
    <x v="42"/>
    <x v="2"/>
    <x v="6"/>
  </r>
  <r>
    <s v="20/7/2024"/>
    <s v="CS064"/>
    <x v="65"/>
    <x v="1"/>
    <x v="0"/>
    <x v="45"/>
    <x v="61"/>
    <n v="15"/>
    <n v="1.6"/>
    <n v="24"/>
    <x v="23"/>
    <x v="0"/>
    <x v="6"/>
  </r>
  <r>
    <s v="21/7/2024"/>
    <s v="CS001"/>
    <x v="0"/>
    <x v="0"/>
    <x v="0"/>
    <x v="31"/>
    <x v="62"/>
    <n v="798"/>
    <n v="2.2000000000000002"/>
    <n v="1755.6000000000001"/>
    <x v="39"/>
    <x v="1"/>
    <x v="6"/>
  </r>
  <r>
    <s v="22/7/2024"/>
    <s v="CS003"/>
    <x v="2"/>
    <x v="0"/>
    <x v="2"/>
    <x v="21"/>
    <x v="23"/>
    <n v="211"/>
    <n v="1.2"/>
    <n v="253.2"/>
    <x v="13"/>
    <x v="2"/>
    <x v="6"/>
  </r>
  <r>
    <s v="23/7/2024"/>
    <s v="CS007"/>
    <x v="6"/>
    <x v="1"/>
    <x v="0"/>
    <x v="0"/>
    <x v="0"/>
    <n v="100"/>
    <n v="1.2"/>
    <n v="120"/>
    <x v="15"/>
    <x v="3"/>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d v="2024-01-01T00:00:00"/>
    <s v="CS001"/>
    <s v="JOHN DOE"/>
    <x v="0"/>
    <x v="0"/>
    <s v="P001"/>
    <s v="OAT MEAL"/>
    <n v="80"/>
    <n v="1.2"/>
    <n v="96"/>
    <x v="0"/>
    <s v="NORTH"/>
  </r>
  <r>
    <d v="2024-01-01T00:00:00"/>
    <s v="CS002"/>
    <s v="JANE SMITH"/>
    <x v="0"/>
    <x v="1"/>
    <s v="P004"/>
    <s v="APPLE"/>
    <n v="100"/>
    <n v="0.5"/>
    <n v="50"/>
    <x v="1"/>
    <s v="SOUTH"/>
  </r>
  <r>
    <d v="2024-02-01T00:00:00"/>
    <s v="CS003"/>
    <s v="MICHAEL JOHNSON"/>
    <x v="0"/>
    <x v="2"/>
    <s v="P006"/>
    <s v="BANANA"/>
    <n v="150"/>
    <n v="0.8"/>
    <n v="120"/>
    <x v="2"/>
    <s v="SOUTH"/>
  </r>
  <r>
    <d v="2024-02-01T00:00:00"/>
    <s v="CS004"/>
    <s v="EMILY DAVIS"/>
    <x v="1"/>
    <x v="1"/>
    <s v="P011"/>
    <s v="MILK"/>
    <n v="80"/>
    <n v="2"/>
    <n v="160"/>
    <x v="3"/>
    <s v="NORTH"/>
  </r>
  <r>
    <d v="2024-02-01T00:00:00"/>
    <s v="CS005"/>
    <s v="DAVID WILSON"/>
    <x v="0"/>
    <x v="1"/>
    <s v="P014"/>
    <s v="CHEESE"/>
    <n v="200"/>
    <n v="0.6"/>
    <n v="120"/>
    <x v="4"/>
    <s v="WEST"/>
  </r>
  <r>
    <d v="2024-02-01T00:00:00"/>
    <s v="CS006"/>
    <s v="SARAH BROWN"/>
    <x v="1"/>
    <x v="1"/>
    <s v="P065"/>
    <s v="YOGURT"/>
    <n v="60"/>
    <n v="0.4"/>
    <n v="24"/>
    <x v="5"/>
    <s v="EAST"/>
  </r>
  <r>
    <d v="2024-03-01T00:00:00"/>
    <s v="CS007"/>
    <s v="LISA MILLER"/>
    <x v="1"/>
    <x v="0"/>
    <s v="P098"/>
    <s v="BUTTER"/>
    <n v="80"/>
    <n v="1"/>
    <n v="80"/>
    <x v="6"/>
    <s v="NORTH"/>
  </r>
  <r>
    <s v="16/1/2024"/>
    <s v="CS008"/>
    <s v="ROBERT GARCIA"/>
    <x v="0"/>
    <x v="2"/>
    <s v="P066"/>
    <s v="FLOUR"/>
    <n v="300"/>
    <n v="3"/>
    <n v="900"/>
    <x v="7"/>
    <s v="SOUTH"/>
  </r>
  <r>
    <s v="20/1/2024"/>
    <s v="CS009"/>
    <s v="AMANDA WHITE"/>
    <x v="1"/>
    <x v="1"/>
    <s v="P025"/>
    <s v="PASTA"/>
    <n v="100"/>
    <n v="5.2"/>
    <n v="520"/>
    <x v="8"/>
    <s v="WEST"/>
  </r>
  <r>
    <d v="2024-02-02T00:00:00"/>
    <s v="CS001"/>
    <s v="JOHN DOE"/>
    <x v="0"/>
    <x v="0"/>
    <s v="P087"/>
    <s v="PORK CHOP"/>
    <n v="100"/>
    <n v="3.2"/>
    <n v="320"/>
    <x v="0"/>
    <s v="EAST"/>
  </r>
  <r>
    <d v="2024-05-02T00:00:00"/>
    <s v="CS010"/>
    <s v="EMILY DAVIS"/>
    <x v="1"/>
    <x v="1"/>
    <s v="P001"/>
    <s v="OAT MEAL"/>
    <n v="200"/>
    <n v="1.2"/>
    <n v="240"/>
    <x v="9"/>
    <s v="EAST"/>
  </r>
  <r>
    <d v="2024-03-02T00:00:00"/>
    <s v="CS011"/>
    <s v="SARAH   "/>
    <x v="1"/>
    <x v="1"/>
    <s v="P009"/>
    <s v="MUFFINS"/>
    <n v="32"/>
    <n v="2.5"/>
    <n v="80"/>
    <x v="10"/>
    <s v="EAST"/>
  </r>
  <r>
    <d v="2024-04-02T00:00:00"/>
    <s v="CS012"/>
    <s v="AARAV SHARMA"/>
    <x v="0"/>
    <x v="1"/>
    <s v="P001"/>
    <s v="OAT MEAL"/>
    <n v="100"/>
    <n v="1.2"/>
    <n v="120"/>
    <x v="11"/>
    <s v="WEST"/>
  </r>
  <r>
    <s v="15/2/2024"/>
    <s v="CS013"/>
    <s v="SIYA GUPTA"/>
    <x v="1"/>
    <x v="2"/>
    <s v="P001"/>
    <s v="OAT MEAL"/>
    <n v="200"/>
    <n v="1.2"/>
    <n v="240"/>
    <x v="12"/>
    <s v="NORTH"/>
  </r>
  <r>
    <s v="16/2/2024"/>
    <s v="CS014"/>
    <s v="REYANSH SINGH"/>
    <x v="0"/>
    <x v="0"/>
    <s v="P008"/>
    <s v="SALT"/>
    <n v="100"/>
    <n v="0.5"/>
    <n v="50"/>
    <x v="2"/>
    <s v="SOUTH"/>
  </r>
  <r>
    <s v="22/2/2024"/>
    <s v="CS015"/>
    <s v="AADHYA"/>
    <x v="1"/>
    <x v="2"/>
    <s v="P009"/>
    <s v="MUFFINS"/>
    <n v="32"/>
    <n v="2.5"/>
    <n v="80"/>
    <x v="2"/>
    <s v="WEST"/>
  </r>
  <r>
    <s v="28/2/224"/>
    <s v="CS016"/>
    <s v="ADVIK"/>
    <x v="0"/>
    <x v="2"/>
    <s v="P009"/>
    <s v="MUFFINS"/>
    <n v="69"/>
    <n v="2.5"/>
    <n v="172.5"/>
    <x v="13"/>
    <s v="EAST"/>
  </r>
  <r>
    <d v="2024-11-03T00:00:00"/>
    <s v="CS017"/>
    <s v="ANIKA"/>
    <x v="1"/>
    <x v="1"/>
    <s v="P010"/>
    <s v="PANCAKE MIX"/>
    <n v="200"/>
    <n v="3.2"/>
    <n v="640"/>
    <x v="14"/>
    <s v="NORTH"/>
  </r>
  <r>
    <d v="2024-12-03T00:00:00"/>
    <s v="CS018"/>
    <s v="ANANYA"/>
    <x v="1"/>
    <x v="1"/>
    <s v="P011"/>
    <s v="MILK"/>
    <n v="200"/>
    <n v="2"/>
    <n v="400"/>
    <x v="15"/>
    <s v="SOUTH"/>
  </r>
  <r>
    <s v="13/3/2024"/>
    <s v="CS019"/>
    <s v="VIVAAN"/>
    <x v="0"/>
    <x v="1"/>
    <s v="P085"/>
    <s v="CEREAL"/>
    <n v="300"/>
    <n v="4.2"/>
    <n v="1260"/>
    <x v="15"/>
    <s v="EAST"/>
  </r>
  <r>
    <s v="14/3/2024"/>
    <s v="CS001"/>
    <s v="JOHN DOE"/>
    <x v="0"/>
    <x v="0"/>
    <s v="P017"/>
    <s v="NUTS"/>
    <n v="40"/>
    <n v="3.6"/>
    <n v="144"/>
    <x v="16"/>
    <s v="WEST"/>
  </r>
  <r>
    <s v="18/3/2024"/>
    <s v="CS002"/>
    <s v="JANE SMITH"/>
    <x v="0"/>
    <x v="1"/>
    <s v="P020"/>
    <s v="LAUNDRY DETERGENT"/>
    <n v="30"/>
    <n v="2"/>
    <n v="60"/>
    <x v="2"/>
    <s v="NORTH"/>
  </r>
  <r>
    <s v="19/3/2024"/>
    <s v="CS013"/>
    <s v="GEORGE"/>
    <x v="0"/>
    <x v="2"/>
    <s v="P001"/>
    <s v="OAT MEAL"/>
    <n v="100"/>
    <n v="1.2"/>
    <n v="120"/>
    <x v="15"/>
    <s v="SOUTH"/>
  </r>
  <r>
    <s v="20/3/2024"/>
    <s v="CS005"/>
    <s v="DAVID WILSON"/>
    <x v="0"/>
    <x v="1"/>
    <s v="P001"/>
    <s v="OAT MEAL"/>
    <n v="100"/>
    <n v="1.2"/>
    <n v="120"/>
    <x v="17"/>
    <s v="EAST"/>
  </r>
  <r>
    <d v="2024-01-04T00:00:00"/>
    <s v="CS006"/>
    <s v="SARAH BROWN"/>
    <x v="1"/>
    <x v="1"/>
    <s v="P002"/>
    <s v="BODY WASH"/>
    <n v="200"/>
    <n v="1.6"/>
    <n v="320"/>
    <x v="0"/>
    <s v="WEST"/>
  </r>
  <r>
    <d v="2024-02-04T00:00:00"/>
    <s v="CS007"/>
    <s v="LISA MILLER"/>
    <x v="1"/>
    <x v="0"/>
    <s v="P003"/>
    <s v="AIR FRESHNER"/>
    <n v="80"/>
    <n v="3"/>
    <n v="240"/>
    <x v="1"/>
    <s v="WEST"/>
  </r>
  <r>
    <d v="2024-03-04T00:00:00"/>
    <s v="CS014"/>
    <s v="ARJUN"/>
    <x v="0"/>
    <x v="2"/>
    <s v="P004"/>
    <s v="BATTERIES"/>
    <n v="70"/>
    <n v="5"/>
    <n v="350"/>
    <x v="18"/>
    <s v="WEST"/>
  </r>
  <r>
    <d v="2024-04-04T00:00:00"/>
    <s v="CS015"/>
    <s v="ZOYA"/>
    <x v="1"/>
    <x v="2"/>
    <s v="P009"/>
    <s v="MUFFINS"/>
    <n v="15"/>
    <n v="2.5"/>
    <n v="37.5"/>
    <x v="15"/>
    <s v="EAST"/>
  </r>
  <r>
    <d v="2024-05-04T00:00:00"/>
    <s v="CS010"/>
    <s v="EMILY DAVIS"/>
    <x v="1"/>
    <x v="1"/>
    <s v="P008"/>
    <s v="SALT"/>
    <n v="800"/>
    <n v="0.5"/>
    <n v="400"/>
    <x v="19"/>
    <s v="EAST"/>
  </r>
  <r>
    <d v="2024-06-04T00:00:00"/>
    <s v="CS009"/>
    <s v="AMANDA WHITE"/>
    <x v="1"/>
    <x v="1"/>
    <s v="P019"/>
    <s v="PET FOOD"/>
    <n v="901"/>
    <n v="2"/>
    <n v="1802"/>
    <x v="20"/>
    <s v="NORTH"/>
  </r>
  <r>
    <d v="2024-07-04T00:00:00"/>
    <s v="CS016"/>
    <s v="AYAAN"/>
    <x v="0"/>
    <x v="0"/>
    <s v="P062"/>
    <s v="BIRD SEED"/>
    <n v="206"/>
    <n v="6"/>
    <n v="1236"/>
    <x v="21"/>
    <s v="SOUTH"/>
  </r>
  <r>
    <d v="2024-08-04T00:00:00"/>
    <s v="CS017"/>
    <s v="AMAIRA"/>
    <x v="1"/>
    <x v="1"/>
    <s v="P092"/>
    <s v="LIGHT BULBS"/>
    <n v="209"/>
    <n v="2.1"/>
    <n v="438.90000000000003"/>
    <x v="5"/>
    <s v="EAST"/>
  </r>
  <r>
    <d v="2024-11-04T00:00:00"/>
    <s v="CS010"/>
    <s v="EMILY DAVIS"/>
    <x v="1"/>
    <x v="1"/>
    <s v="P006"/>
    <s v="PET SHAMPOOS"/>
    <n v="600"/>
    <n v="3"/>
    <n v="1800"/>
    <x v="15"/>
    <s v="WEST"/>
  </r>
  <r>
    <s v="15/4/2024"/>
    <s v="CS001"/>
    <s v="JOHN DOE"/>
    <x v="0"/>
    <x v="0"/>
    <s v="P112"/>
    <s v="RAISINS"/>
    <n v="211"/>
    <n v="1.2"/>
    <n v="253.2"/>
    <x v="22"/>
    <s v="NORTH"/>
  </r>
  <r>
    <s v="20/4/2024"/>
    <s v="SC003"/>
    <s v="MICHAEL JOHNSON"/>
    <x v="0"/>
    <x v="2"/>
    <s v="P432"/>
    <s v="SYRUP"/>
    <n v="243"/>
    <n v="1.5"/>
    <n v="364.5"/>
    <x v="15"/>
    <s v="NORTH"/>
  </r>
  <r>
    <s v="25/4/2024"/>
    <s v="CS002"/>
    <s v="JANE SMITH"/>
    <x v="0"/>
    <x v="1"/>
    <s v="P990"/>
    <s v="GRANOLA"/>
    <n v="99"/>
    <n v="0.6"/>
    <n v="59.4"/>
    <x v="0"/>
    <s v="NORTH"/>
  </r>
  <r>
    <s v="26/4/2024"/>
    <s v="CS005"/>
    <s v="DAVID WILSON"/>
    <x v="0"/>
    <x v="1"/>
    <s v="P090"/>
    <s v="POTATO CHIPS"/>
    <n v="100"/>
    <n v="0.8"/>
    <n v="80"/>
    <x v="1"/>
    <s v="WEST"/>
  </r>
  <r>
    <s v="27/4/2024"/>
    <s v="CS018"/>
    <s v="NORIN "/>
    <x v="1"/>
    <x v="1"/>
    <s v="P087"/>
    <s v="PORK CHOP"/>
    <n v="708"/>
    <n v="2"/>
    <n v="1416"/>
    <x v="14"/>
    <s v="WEST"/>
  </r>
  <r>
    <s v="28/4/2024"/>
    <s v="CS019"/>
    <s v="SAFNA"/>
    <x v="1"/>
    <x v="2"/>
    <s v="P076"/>
    <s v="PRETZELS"/>
    <n v="607"/>
    <n v="1.6"/>
    <n v="971.2"/>
    <x v="23"/>
    <s v="SOUTH"/>
  </r>
  <r>
    <d v="2024-01-05T00:00:00"/>
    <s v="CS020"/>
    <s v="SANIYA"/>
    <x v="1"/>
    <x v="1"/>
    <s v="P023"/>
    <s v="KETCHUP"/>
    <n v="302"/>
    <n v="1.4"/>
    <n v="422.79999999999995"/>
    <x v="24"/>
    <s v="EAST"/>
  </r>
  <r>
    <d v="2024-02-05T00:00:00"/>
    <s v="CS021"/>
    <s v="SHAHANA"/>
    <x v="1"/>
    <x v="0"/>
    <s v="P098"/>
    <s v="FROZZEN WAFFLES"/>
    <n v="809"/>
    <n v="1.6"/>
    <n v="1294.4000000000001"/>
    <x v="2"/>
    <s v="SOUTH"/>
  </r>
  <r>
    <d v="2024-03-05T00:00:00"/>
    <s v="CS022"/>
    <s v="SHADIYA"/>
    <x v="1"/>
    <x v="1"/>
    <s v="P001"/>
    <s v="OAT MEAL"/>
    <n v="100"/>
    <n v="1.2"/>
    <n v="120"/>
    <x v="1"/>
    <s v="WEST"/>
  </r>
  <r>
    <d v="2024-04-05T00:00:00"/>
    <s v="CS023"/>
    <s v="SHAMNA"/>
    <x v="1"/>
    <x v="1"/>
    <s v="P010"/>
    <s v="FROZEN PIZZA"/>
    <n v="50"/>
    <n v="3"/>
    <n v="150"/>
    <x v="15"/>
    <s v="EAST"/>
  </r>
  <r>
    <d v="2024-05-05T00:00:00"/>
    <s v="CS024"/>
    <s v="NAHOOFA SHARIN"/>
    <x v="1"/>
    <x v="1"/>
    <s v="P009"/>
    <s v="MUFFINS"/>
    <n v="87"/>
    <n v="2.5"/>
    <n v="217.5"/>
    <x v="22"/>
    <s v="NORTH"/>
  </r>
  <r>
    <d v="2024-06-05T00:00:00"/>
    <s v="CS025"/>
    <s v="SHAMLEENA"/>
    <x v="1"/>
    <x v="0"/>
    <s v="P001"/>
    <s v="OAT MEAL"/>
    <n v="214"/>
    <n v="1.2"/>
    <n v="256.8"/>
    <x v="0"/>
    <s v="WEST"/>
  </r>
  <r>
    <d v="2024-07-05T00:00:00"/>
    <s v="CS001"/>
    <s v="JOHN DOE"/>
    <x v="0"/>
    <x v="0"/>
    <s v="P112"/>
    <s v="RAISINS"/>
    <n v="54"/>
    <n v="2"/>
    <n v="108"/>
    <x v="17"/>
    <s v="SOUTH"/>
  </r>
  <r>
    <d v="2024-11-05T00:00:00"/>
    <s v="CS007"/>
    <s v="LISA MILLER"/>
    <x v="1"/>
    <x v="0"/>
    <s v="P086"/>
    <s v="TOOTHPASTE"/>
    <n v="65"/>
    <n v="3"/>
    <n v="195"/>
    <x v="2"/>
    <s v="NORTH"/>
  </r>
  <r>
    <d v="2024-12-05T00:00:00"/>
    <s v="CS016"/>
    <s v="ADVIK"/>
    <x v="0"/>
    <x v="1"/>
    <s v="P054"/>
    <s v="FABRIC SOFTNER"/>
    <n v="54"/>
    <n v="4"/>
    <n v="216"/>
    <x v="25"/>
    <s v="WEST"/>
  </r>
  <r>
    <s v="13/5/2024"/>
    <s v="CS026"/>
    <s v="DAKSHA"/>
    <x v="1"/>
    <x v="1"/>
    <s v="P003"/>
    <s v="SOAP"/>
    <n v="10"/>
    <n v="5"/>
    <n v="50"/>
    <x v="15"/>
    <s v="SOUTH"/>
  </r>
  <r>
    <s v="14/5/2024"/>
    <s v="CS027"/>
    <s v="ZAIN"/>
    <x v="0"/>
    <x v="2"/>
    <s v="P007"/>
    <s v="HONEY"/>
    <n v="100"/>
    <n v="2.1"/>
    <n v="210"/>
    <x v="18"/>
    <s v="NORTH"/>
  </r>
  <r>
    <s v="15/5/2024"/>
    <s v="CS028"/>
    <s v="ISHAL"/>
    <x v="1"/>
    <x v="1"/>
    <s v="P948"/>
    <s v="BBQ SAUCE"/>
    <n v="25"/>
    <n v="1.2"/>
    <n v="30"/>
    <x v="18"/>
    <s v="NORTH"/>
  </r>
  <r>
    <s v="16/5/2024"/>
    <s v="CS029"/>
    <s v="AYMA "/>
    <x v="1"/>
    <x v="1"/>
    <s v="P987"/>
    <s v="FROZZEN BURRITOS"/>
    <n v="78"/>
    <n v="3"/>
    <n v="234"/>
    <x v="26"/>
    <s v="NORTH"/>
  </r>
  <r>
    <s v="17/5/2004"/>
    <s v="CS030"/>
    <s v="SHAHEENA"/>
    <x v="1"/>
    <x v="1"/>
    <s v="P006"/>
    <s v="PET SHAMPOOS"/>
    <n v="54"/>
    <n v="4.0999999999999996"/>
    <n v="221.39999999999998"/>
    <x v="1"/>
    <s v="SOUTH"/>
  </r>
  <r>
    <s v="18/5/2024"/>
    <s v="CS005"/>
    <s v="DAVID WILSON"/>
    <x v="0"/>
    <x v="1"/>
    <s v="P906"/>
    <s v="DEODORANT"/>
    <n v="68"/>
    <n v="2.1"/>
    <n v="142.80000000000001"/>
    <x v="27"/>
    <s v="WEST"/>
  </r>
  <r>
    <s v="19/5/2024"/>
    <s v="CS003"/>
    <s v="MICHAEL JOHNSON"/>
    <x v="0"/>
    <x v="2"/>
    <s v="P112"/>
    <s v="RAISINS"/>
    <n v="211"/>
    <n v="1.2"/>
    <n v="253.2"/>
    <x v="28"/>
    <s v="NORTH"/>
  </r>
  <r>
    <s v="20/5/2024"/>
    <s v="CS031"/>
    <s v="SHAHMINA"/>
    <x v="1"/>
    <x v="1"/>
    <s v="P786"/>
    <s v="TRASH BAGS"/>
    <n v="678"/>
    <n v="2.2999999999999998"/>
    <n v="1559.3999999999999"/>
    <x v="28"/>
    <s v="EAST"/>
  </r>
  <r>
    <s v="27/5/2024"/>
    <s v="CS032"/>
    <s v="SHIRIN"/>
    <x v="1"/>
    <x v="0"/>
    <s v="P322"/>
    <s v="CAT LITTER"/>
    <n v="232"/>
    <n v="2"/>
    <n v="464"/>
    <x v="0"/>
    <s v="WEST"/>
  </r>
  <r>
    <s v="28/5/2024"/>
    <s v="CS033"/>
    <s v="NAJID"/>
    <x v="0"/>
    <x v="0"/>
    <s v="P012"/>
    <s v="OLIVE OIL"/>
    <n v="201"/>
    <n v="3"/>
    <n v="603"/>
    <x v="2"/>
    <s v="SOUTH"/>
  </r>
  <r>
    <s v="29/5/2024"/>
    <s v="CS034"/>
    <s v="SAFNA SABITH"/>
    <x v="1"/>
    <x v="1"/>
    <s v="P015"/>
    <s v="MAYONNAISE"/>
    <n v="501"/>
    <n v="5"/>
    <n v="2505"/>
    <x v="15"/>
    <s v="NORTH"/>
  </r>
  <r>
    <s v="30/5/2024"/>
    <s v="CS020"/>
    <s v="SANIYA"/>
    <x v="1"/>
    <x v="1"/>
    <s v="P024"/>
    <s v="EGGS"/>
    <n v="402"/>
    <n v="4"/>
    <n v="1608"/>
    <x v="29"/>
    <s v="NORTH"/>
  </r>
  <r>
    <s v="31/5/2024"/>
    <s v="CS036"/>
    <s v="NOURIN"/>
    <x v="1"/>
    <x v="1"/>
    <s v="P012"/>
    <s v="OLIVE OIL"/>
    <n v="201"/>
    <n v="3"/>
    <n v="603"/>
    <x v="30"/>
    <s v="SOUTH"/>
  </r>
  <r>
    <d v="2024-01-06T00:00:00"/>
    <s v="CS037"/>
    <s v="SHAHAL"/>
    <x v="0"/>
    <x v="1"/>
    <s v="P987"/>
    <s v="VITAMINE SUPPLYMENTS"/>
    <n v="798"/>
    <n v="2"/>
    <n v="1596"/>
    <x v="31"/>
    <s v="SOUTH"/>
  </r>
  <r>
    <d v="2024-02-06T00:00:00"/>
    <s v="CS038"/>
    <s v="SHINURAJ"/>
    <x v="1"/>
    <x v="2"/>
    <s v="P356"/>
    <s v="DOG TOYS"/>
    <n v="635"/>
    <n v="1.6"/>
    <n v="1016"/>
    <x v="17"/>
    <s v="WEST"/>
  </r>
  <r>
    <d v="2024-03-06T00:00:00"/>
    <s v="CS039"/>
    <s v="SREELAKSHMI"/>
    <x v="1"/>
    <x v="2"/>
    <s v="P028"/>
    <s v="TEA"/>
    <n v="802"/>
    <n v="3"/>
    <n v="2406"/>
    <x v="2"/>
    <s v="WEST"/>
  </r>
  <r>
    <d v="2024-04-06T00:00:00"/>
    <s v="CS001"/>
    <s v="JOHN DOE"/>
    <x v="0"/>
    <x v="0"/>
    <s v="P012"/>
    <s v="OLIVE OIL"/>
    <n v="201"/>
    <n v="3"/>
    <n v="603"/>
    <x v="15"/>
    <s v="WEST"/>
  </r>
  <r>
    <d v="2024-05-06T00:00:00"/>
    <s v="CS006"/>
    <s v="SARAH BROWN"/>
    <x v="1"/>
    <x v="1"/>
    <s v="P014"/>
    <s v="SODA"/>
    <n v="401"/>
    <n v="3.2"/>
    <n v="1283.2"/>
    <x v="1"/>
    <s v="WEST"/>
  </r>
  <r>
    <d v="2024-06-06T00:00:00"/>
    <s v="CS007"/>
    <s v="LISA MILLER"/>
    <x v="1"/>
    <x v="0"/>
    <s v="P025"/>
    <s v="RICE"/>
    <n v="502"/>
    <n v="1.6"/>
    <n v="803.2"/>
    <x v="0"/>
    <s v="NORTH"/>
  </r>
  <r>
    <d v="2024-07-06T00:00:00"/>
    <s v="CS018"/>
    <s v="ANANYA"/>
    <x v="1"/>
    <x v="1"/>
    <s v="P001"/>
    <s v="OAT MEAL"/>
    <n v="100"/>
    <n v="1.2"/>
    <n v="120"/>
    <x v="4"/>
    <s v="SOUTH"/>
  </r>
  <r>
    <s v="8/6/20224"/>
    <s v="CS019"/>
    <s v="VIVAAN"/>
    <x v="0"/>
    <x v="1"/>
    <s v="P114"/>
    <s v="SALMON"/>
    <n v="411"/>
    <n v="3"/>
    <n v="1233"/>
    <x v="6"/>
    <s v="WEST"/>
  </r>
  <r>
    <d v="2024-11-06T00:00:00"/>
    <s v="CS040"/>
    <s v="SCARLET"/>
    <x v="1"/>
    <x v="1"/>
    <s v="P074"/>
    <s v="CHICKEN BREAST"/>
    <n v="407"/>
    <n v="4"/>
    <n v="1628"/>
    <x v="32"/>
    <s v="SOUTH"/>
  </r>
  <r>
    <d v="2024-12-06T00:00:00"/>
    <s v="CS041"/>
    <s v="JOHN"/>
    <x v="0"/>
    <x v="1"/>
    <s v="P012"/>
    <s v="OLIVE OIL"/>
    <n v="201"/>
    <n v="3"/>
    <n v="603"/>
    <x v="7"/>
    <s v="WEST"/>
  </r>
  <r>
    <s v="13/6/2024"/>
    <s v="CS042"/>
    <s v="SMITH"/>
    <x v="0"/>
    <x v="0"/>
    <s v="P001"/>
    <s v="OAT MEAL"/>
    <n v="100"/>
    <n v="5"/>
    <n v="500"/>
    <x v="8"/>
    <s v="EAST"/>
  </r>
  <r>
    <s v="14/6/2024"/>
    <s v="CS043"/>
    <s v="RAHEEM"/>
    <x v="0"/>
    <x v="1"/>
    <s v="P002"/>
    <s v="LETTUCE"/>
    <n v="200"/>
    <n v="8"/>
    <n v="1600"/>
    <x v="23"/>
    <s v="NORTH"/>
  </r>
  <r>
    <s v="15/6/2024"/>
    <s v="CS045"/>
    <s v="SEREENA"/>
    <x v="1"/>
    <x v="2"/>
    <s v="P003"/>
    <s v="POTATO CHIPS"/>
    <n v="70"/>
    <n v="2"/>
    <n v="140"/>
    <x v="33"/>
    <s v="SOUTH"/>
  </r>
  <r>
    <s v="17/6/2024"/>
    <s v="CS010"/>
    <s v="EMILY DAVIS"/>
    <x v="1"/>
    <x v="1"/>
    <s v="P004"/>
    <s v="APPLE"/>
    <n v="400"/>
    <n v="4"/>
    <n v="1600"/>
    <x v="11"/>
    <s v="WEST"/>
  </r>
  <r>
    <s v="18/6/2024"/>
    <s v="CS046"/>
    <s v="ZAHRA ALI"/>
    <x v="1"/>
    <x v="1"/>
    <s v="P005"/>
    <s v="GRAPES"/>
    <n v="500"/>
    <n v="6"/>
    <n v="3000"/>
    <x v="34"/>
    <s v="EAST"/>
  </r>
  <r>
    <s v="19/6/2024"/>
    <s v="CS047"/>
    <s v="FATHIMA"/>
    <x v="1"/>
    <x v="1"/>
    <s v="P006"/>
    <s v="GROUND BEEF"/>
    <n v="600"/>
    <n v="7"/>
    <n v="4200"/>
    <x v="35"/>
    <s v="NORTH"/>
  </r>
  <r>
    <s v="20/6/2024"/>
    <s v="CS048"/>
    <s v="LAILA"/>
    <x v="1"/>
    <x v="1"/>
    <s v="P007"/>
    <s v="BREAD"/>
    <n v="100"/>
    <n v="3"/>
    <n v="300"/>
    <x v="14"/>
    <s v="SOUTH"/>
  </r>
  <r>
    <s v="21/6/2024"/>
    <s v="CS049"/>
    <s v="LISA  "/>
    <x v="1"/>
    <x v="2"/>
    <s v="P008"/>
    <s v="SALT"/>
    <n v="800"/>
    <n v="0.5"/>
    <n v="400"/>
    <x v="28"/>
    <s v="WEST"/>
  </r>
  <r>
    <s v="22/6/2024"/>
    <s v="CS050"/>
    <s v="JENNY"/>
    <x v="1"/>
    <x v="2"/>
    <s v="P009"/>
    <s v="MUFFINS"/>
    <n v="78"/>
    <n v="2.5"/>
    <n v="195"/>
    <x v="15"/>
    <s v="WEST"/>
  </r>
  <r>
    <s v="23/6/2024"/>
    <s v="CS051"/>
    <s v="ROSE"/>
    <x v="1"/>
    <x v="0"/>
    <s v="P010"/>
    <s v="ORANGE"/>
    <n v="80"/>
    <n v="5"/>
    <n v="400"/>
    <x v="36"/>
    <s v="SOUTH"/>
  </r>
  <r>
    <s v="27/6/2024"/>
    <s v="CS052"/>
    <s v="JISOO"/>
    <x v="1"/>
    <x v="1"/>
    <s v="P011"/>
    <s v="MILK"/>
    <n v="56"/>
    <n v="2"/>
    <n v="112"/>
    <x v="16"/>
    <s v="SOUTH"/>
  </r>
  <r>
    <s v="28/6/2024"/>
    <s v="CS053"/>
    <s v="JEENA"/>
    <x v="1"/>
    <x v="1"/>
    <s v="P012"/>
    <s v="OLIVE OIL"/>
    <n v="38"/>
    <n v="3"/>
    <n v="114"/>
    <x v="18"/>
    <s v="NORTH"/>
  </r>
  <r>
    <s v="29/6/2024"/>
    <s v="CS001"/>
    <s v="JOHN DOE"/>
    <x v="0"/>
    <x v="0"/>
    <s v="P013"/>
    <s v="BAGELS"/>
    <n v="100"/>
    <n v="2"/>
    <n v="200"/>
    <x v="37"/>
    <s v="EAST"/>
  </r>
  <r>
    <s v="30/6/2024"/>
    <s v="CS054"/>
    <s v="AARADHYA"/>
    <x v="1"/>
    <x v="1"/>
    <s v="P014"/>
    <s v="ICE CREAM"/>
    <n v="78"/>
    <n v="1.2"/>
    <n v="93.6"/>
    <x v="38"/>
    <s v="WEST"/>
  </r>
  <r>
    <d v="2024-01-07T00:00:00"/>
    <s v="CS055"/>
    <s v="AHALYA"/>
    <x v="1"/>
    <x v="1"/>
    <s v="P054"/>
    <s v="COOKING SPRAY"/>
    <n v="57"/>
    <n v="2.5"/>
    <n v="142.5"/>
    <x v="39"/>
    <s v="SOUTH"/>
  </r>
  <r>
    <d v="2024-02-07T00:00:00"/>
    <s v="CS056"/>
    <s v="DWANI"/>
    <x v="1"/>
    <x v="1"/>
    <s v="P001"/>
    <s v="OAT MEAL"/>
    <n v="32"/>
    <n v="1.2"/>
    <n v="38.4"/>
    <x v="40"/>
    <s v="SOUTH"/>
  </r>
  <r>
    <d v="2024-03-07T00:00:00"/>
    <s v="CS057"/>
    <s v="WILLIAM"/>
    <x v="0"/>
    <x v="1"/>
    <s v="P005"/>
    <s v="PAPER TOWELS"/>
    <n v="98"/>
    <n v="3"/>
    <n v="294"/>
    <x v="5"/>
    <s v="NORTH"/>
  </r>
  <r>
    <s v="4/72024"/>
    <s v="CS058"/>
    <s v="TOM "/>
    <x v="0"/>
    <x v="1"/>
    <s v="P009"/>
    <s v="MUFFINS"/>
    <n v="56"/>
    <n v="2.5"/>
    <n v="140"/>
    <x v="0"/>
    <s v="EAST"/>
  </r>
  <r>
    <d v="2024-05-07T00:00:00"/>
    <s v="CS002"/>
    <s v="JANE SMITH"/>
    <x v="0"/>
    <x v="1"/>
    <s v="P005"/>
    <s v="PAPER TOWELS"/>
    <n v="45"/>
    <n v="2"/>
    <n v="90"/>
    <x v="1"/>
    <s v="EAST"/>
  </r>
  <r>
    <s v="15/7/2024"/>
    <s v="CS008"/>
    <s v="ROBERT GARCIA"/>
    <x v="0"/>
    <x v="2"/>
    <s v="P012"/>
    <s v="OLIVE OIL"/>
    <n v="80"/>
    <n v="3"/>
    <n v="240"/>
    <x v="28"/>
    <s v="EAST"/>
  </r>
  <r>
    <s v="16/7/2024"/>
    <s v="CS060"/>
    <s v="LIAM"/>
    <x v="0"/>
    <x v="1"/>
    <s v="P012"/>
    <s v="OLIVE OIL"/>
    <n v="70"/>
    <n v="3"/>
    <n v="210"/>
    <x v="15"/>
    <s v="NORTH"/>
  </r>
  <r>
    <s v="17/7/2024"/>
    <s v="CS061"/>
    <s v="HARRY"/>
    <x v="0"/>
    <x v="1"/>
    <s v="P014"/>
    <s v="ICE CREAM"/>
    <n v="52"/>
    <n v="3"/>
    <n v="156"/>
    <x v="17"/>
    <s v="SOUTH"/>
  </r>
  <r>
    <s v="18/7/2024"/>
    <s v="CS062"/>
    <s v="ZAIN"/>
    <x v="0"/>
    <x v="1"/>
    <s v="P032"/>
    <s v="MUSTARD"/>
    <n v="203"/>
    <n v="2"/>
    <n v="406"/>
    <x v="41"/>
    <s v="EAST"/>
  </r>
  <r>
    <s v="19/7/2024"/>
    <s v="CS063"/>
    <s v="THOMAS"/>
    <x v="0"/>
    <x v="1"/>
    <s v="P987"/>
    <s v="CONDITIONER"/>
    <n v="32"/>
    <n v="1.5"/>
    <n v="48"/>
    <x v="42"/>
    <s v="WEST"/>
  </r>
  <r>
    <s v="20/7/2024"/>
    <s v="CS064"/>
    <s v="TEENA"/>
    <x v="1"/>
    <x v="0"/>
    <s v="P132"/>
    <s v="CLEANING SPRAY"/>
    <n v="15"/>
    <n v="1.6"/>
    <n v="24"/>
    <x v="23"/>
    <s v="NORTH"/>
  </r>
  <r>
    <s v="21/7/2024"/>
    <s v="CS001"/>
    <s v="JOHN DOE"/>
    <x v="0"/>
    <x v="0"/>
    <s v="P987"/>
    <s v="SUNFLOWER SEEDS"/>
    <n v="798"/>
    <n v="2.2000000000000002"/>
    <n v="1755.6000000000001"/>
    <x v="39"/>
    <s v="SOUTH"/>
  </r>
  <r>
    <s v="22/7/2024"/>
    <s v="CS003"/>
    <s v="MICHAEL JOHNSON"/>
    <x v="0"/>
    <x v="2"/>
    <s v="P112"/>
    <s v="RAISINS"/>
    <n v="211"/>
    <n v="1.2"/>
    <n v="253.2"/>
    <x v="13"/>
    <s v="WEST"/>
  </r>
  <r>
    <s v="23/7/2024"/>
    <s v="CS007"/>
    <s v="LISA MILLER"/>
    <x v="1"/>
    <x v="0"/>
    <s v="P001"/>
    <s v="OAT MEAL"/>
    <n v="100"/>
    <n v="1.2"/>
    <n v="120"/>
    <x v="15"/>
    <s v="EAS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3FA66C-BB23-4BC6-B088-686544B7827C}" name="PivotTable7"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4">
  <location ref="A11:B55" firstHeaderRow="1" firstDataRow="1" firstDataCol="1"/>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axis="axisRow" showAll="0">
      <items count="44">
        <item x="24"/>
        <item x="3"/>
        <item x="19"/>
        <item x="31"/>
        <item x="21"/>
        <item x="32"/>
        <item x="40"/>
        <item x="12"/>
        <item x="0"/>
        <item x="35"/>
        <item x="17"/>
        <item x="13"/>
        <item x="27"/>
        <item x="7"/>
        <item x="29"/>
        <item x="39"/>
        <item x="26"/>
        <item x="5"/>
        <item x="1"/>
        <item x="4"/>
        <item x="14"/>
        <item x="22"/>
        <item x="11"/>
        <item x="28"/>
        <item x="36"/>
        <item x="6"/>
        <item x="10"/>
        <item x="15"/>
        <item x="8"/>
        <item x="2"/>
        <item x="25"/>
        <item x="34"/>
        <item x="18"/>
        <item x="37"/>
        <item x="38"/>
        <item x="30"/>
        <item x="42"/>
        <item x="16"/>
        <item x="20"/>
        <item x="9"/>
        <item x="33"/>
        <item x="23"/>
        <item x="41"/>
        <item t="default"/>
      </items>
    </pivotField>
    <pivotField showAll="0">
      <items count="5">
        <item x="3"/>
        <item x="0"/>
        <item x="1"/>
        <item x="2"/>
        <item t="default"/>
      </items>
    </pivotField>
    <pivotField showAll="0">
      <items count="8">
        <item x="0"/>
        <item x="1"/>
        <item x="3"/>
        <item x="4"/>
        <item x="5"/>
        <item x="6"/>
        <item x="2"/>
        <item t="default"/>
      </items>
    </pivotField>
  </pivotFields>
  <rowFields count="1">
    <field x="10"/>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t="grand">
      <x/>
    </i>
  </rowItems>
  <colItems count="1">
    <i/>
  </colItems>
  <dataFields count="1">
    <dataField name="Sum of SALES"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09DF8B-76A5-49CB-B9B0-550FE9EF7B19}"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G11:H19" firstHeaderRow="1" firstDataRow="1" firstDataCol="1"/>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showAll="0"/>
    <pivotField showAll="0"/>
    <pivotField axis="axisRow" showAll="0">
      <items count="8">
        <item x="0"/>
        <item x="1"/>
        <item x="3"/>
        <item x="4"/>
        <item x="5"/>
        <item x="6"/>
        <item x="2"/>
        <item t="default"/>
      </items>
    </pivotField>
  </pivotFields>
  <rowFields count="1">
    <field x="12"/>
  </rowFields>
  <rowItems count="8">
    <i>
      <x/>
    </i>
    <i>
      <x v="1"/>
    </i>
    <i>
      <x v="2"/>
    </i>
    <i>
      <x v="3"/>
    </i>
    <i>
      <x v="4"/>
    </i>
    <i>
      <x v="5"/>
    </i>
    <i>
      <x v="6"/>
    </i>
    <i t="grand">
      <x/>
    </i>
  </rowItems>
  <colItems count="1">
    <i/>
  </colItems>
  <dataFields count="1">
    <dataField name="Sum of SALES" fld="9" baseField="0" baseItem="0"/>
  </dataFields>
  <chartFormats count="1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2" count="1" selected="0">
            <x v="3"/>
          </reference>
        </references>
      </pivotArea>
    </chartFormat>
    <chartFormat chart="4" format="6">
      <pivotArea type="data" outline="0" fieldPosition="0">
        <references count="2">
          <reference field="4294967294" count="1" selected="0">
            <x v="0"/>
          </reference>
          <reference field="12" count="1" selected="0">
            <x v="4"/>
          </reference>
        </references>
      </pivotArea>
    </chartFormat>
    <chartFormat chart="4" format="7">
      <pivotArea type="data" outline="0" fieldPosition="0">
        <references count="2">
          <reference field="4294967294" count="1" selected="0">
            <x v="0"/>
          </reference>
          <reference field="12" count="1" selected="0">
            <x v="2"/>
          </reference>
        </references>
      </pivotArea>
    </chartFormat>
    <chartFormat chart="4" format="8">
      <pivotArea type="data" outline="0" fieldPosition="0">
        <references count="2">
          <reference field="4294967294" count="1" selected="0">
            <x v="0"/>
          </reference>
          <reference field="12" count="1" selected="0">
            <x v="1"/>
          </reference>
        </references>
      </pivotArea>
    </chartFormat>
    <chartFormat chart="4" format="9">
      <pivotArea type="data" outline="0" fieldPosition="0">
        <references count="2">
          <reference field="4294967294" count="1" selected="0">
            <x v="0"/>
          </reference>
          <reference field="12" count="1" selected="0">
            <x v="0"/>
          </reference>
        </references>
      </pivotArea>
    </chartFormat>
    <chartFormat chart="4" format="10">
      <pivotArea type="data" outline="0" fieldPosition="0">
        <references count="2">
          <reference field="4294967294" count="1" selected="0">
            <x v="0"/>
          </reference>
          <reference field="12" count="1" selected="0">
            <x v="5"/>
          </reference>
        </references>
      </pivotArea>
    </chartFormat>
    <chartFormat chart="6" format="18" series="1">
      <pivotArea type="data" outline="0" fieldPosition="0">
        <references count="1">
          <reference field="4294967294" count="1" selected="0">
            <x v="0"/>
          </reference>
        </references>
      </pivotArea>
    </chartFormat>
    <chartFormat chart="6" format="19">
      <pivotArea type="data" outline="0" fieldPosition="0">
        <references count="2">
          <reference field="4294967294" count="1" selected="0">
            <x v="0"/>
          </reference>
          <reference field="12" count="1" selected="0">
            <x v="0"/>
          </reference>
        </references>
      </pivotArea>
    </chartFormat>
    <chartFormat chart="6" format="20">
      <pivotArea type="data" outline="0" fieldPosition="0">
        <references count="2">
          <reference field="4294967294" count="1" selected="0">
            <x v="0"/>
          </reference>
          <reference field="12" count="1" selected="0">
            <x v="1"/>
          </reference>
        </references>
      </pivotArea>
    </chartFormat>
    <chartFormat chart="6" format="21">
      <pivotArea type="data" outline="0" fieldPosition="0">
        <references count="2">
          <reference field="4294967294" count="1" selected="0">
            <x v="0"/>
          </reference>
          <reference field="12" count="1" selected="0">
            <x v="2"/>
          </reference>
        </references>
      </pivotArea>
    </chartFormat>
    <chartFormat chart="6" format="22">
      <pivotArea type="data" outline="0" fieldPosition="0">
        <references count="2">
          <reference field="4294967294" count="1" selected="0">
            <x v="0"/>
          </reference>
          <reference field="12" count="1" selected="0">
            <x v="3"/>
          </reference>
        </references>
      </pivotArea>
    </chartFormat>
    <chartFormat chart="6" format="23">
      <pivotArea type="data" outline="0" fieldPosition="0">
        <references count="2">
          <reference field="4294967294" count="1" selected="0">
            <x v="0"/>
          </reference>
          <reference field="12" count="1" selected="0">
            <x v="4"/>
          </reference>
        </references>
      </pivotArea>
    </chartFormat>
    <chartFormat chart="6" format="24">
      <pivotArea type="data" outline="0" fieldPosition="0">
        <references count="2">
          <reference field="4294967294" count="1" selected="0">
            <x v="0"/>
          </reference>
          <reference field="1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63E54DF-8ADE-4233-9BDC-2320B009966B}"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7">
  <location ref="J11:K55" firstHeaderRow="1" firstDataRow="1" firstDataCol="1"/>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axis="axisRow" showAll="0">
      <items count="44">
        <item x="24"/>
        <item x="3"/>
        <item x="19"/>
        <item x="31"/>
        <item x="21"/>
        <item x="32"/>
        <item x="40"/>
        <item x="12"/>
        <item x="0"/>
        <item x="35"/>
        <item x="17"/>
        <item x="13"/>
        <item x="27"/>
        <item x="7"/>
        <item x="29"/>
        <item x="39"/>
        <item x="26"/>
        <item x="5"/>
        <item x="1"/>
        <item x="4"/>
        <item x="14"/>
        <item x="22"/>
        <item x="11"/>
        <item x="28"/>
        <item x="36"/>
        <item x="6"/>
        <item x="10"/>
        <item x="15"/>
        <item x="8"/>
        <item x="2"/>
        <item x="25"/>
        <item x="34"/>
        <item x="18"/>
        <item x="37"/>
        <item x="38"/>
        <item x="30"/>
        <item x="42"/>
        <item x="16"/>
        <item x="20"/>
        <item x="9"/>
        <item x="33"/>
        <item x="23"/>
        <item x="41"/>
        <item t="default"/>
      </items>
    </pivotField>
    <pivotField showAll="0">
      <items count="5">
        <item x="3"/>
        <item x="0"/>
        <item x="1"/>
        <item x="2"/>
        <item t="default"/>
      </items>
    </pivotField>
    <pivotField showAll="0">
      <items count="8">
        <item x="0"/>
        <item x="1"/>
        <item x="3"/>
        <item x="4"/>
        <item x="5"/>
        <item x="6"/>
        <item x="2"/>
        <item t="default"/>
      </items>
    </pivotField>
  </pivotFields>
  <rowFields count="1">
    <field x="10"/>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t="grand">
      <x/>
    </i>
  </rowItems>
  <colItems count="1">
    <i/>
  </colItems>
  <dataFields count="1">
    <dataField name="Sum of SALES" fld="9" baseField="0" baseItem="0"/>
  </dataFields>
  <chartFormats count="10">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3" format="5">
      <pivotArea type="data" outline="0" fieldPosition="0">
        <references count="2">
          <reference field="4294967294" count="1" selected="0">
            <x v="0"/>
          </reference>
          <reference field="10" count="1" selected="0">
            <x v="3"/>
          </reference>
        </references>
      </pivotArea>
    </chartFormat>
    <chartFormat chart="13" format="6">
      <pivotArea type="data" outline="0" fieldPosition="0">
        <references count="2">
          <reference field="4294967294" count="1" selected="0">
            <x v="0"/>
          </reference>
          <reference field="10"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0A06EA-7CE4-442D-ABBB-143C662A445F}" name="PivotTable1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E104:M172" firstHeaderRow="1" firstDataRow="2" firstDataCol="1"/>
  <pivotFields count="13">
    <pivotField showAll="0"/>
    <pivotField showAll="0"/>
    <pivotField axis="axisRow" showAll="0">
      <items count="67">
        <item x="13"/>
        <item x="57"/>
        <item x="10"/>
        <item x="14"/>
        <item x="58"/>
        <item x="22"/>
        <item x="8"/>
        <item x="16"/>
        <item x="15"/>
        <item x="19"/>
        <item x="21"/>
        <item x="34"/>
        <item x="31"/>
        <item x="4"/>
        <item x="59"/>
        <item x="3"/>
        <item x="50"/>
        <item x="18"/>
        <item x="63"/>
        <item x="33"/>
        <item x="1"/>
        <item x="56"/>
        <item x="53"/>
        <item x="55"/>
        <item x="45"/>
        <item x="0"/>
        <item x="51"/>
        <item x="62"/>
        <item x="52"/>
        <item x="6"/>
        <item x="2"/>
        <item x="29"/>
        <item x="38"/>
        <item x="23"/>
        <item x="40"/>
        <item x="47"/>
        <item x="12"/>
        <item x="7"/>
        <item x="54"/>
        <item x="24"/>
        <item x="39"/>
        <item x="25"/>
        <item x="9"/>
        <item x="5"/>
        <item x="44"/>
        <item x="48"/>
        <item x="27"/>
        <item x="41"/>
        <item x="26"/>
        <item x="35"/>
        <item x="36"/>
        <item x="30"/>
        <item x="28"/>
        <item x="42"/>
        <item x="37"/>
        <item x="11"/>
        <item x="46"/>
        <item x="43"/>
        <item x="65"/>
        <item x="64"/>
        <item x="61"/>
        <item x="17"/>
        <item x="60"/>
        <item x="49"/>
        <item x="32"/>
        <item x="20"/>
        <item t="default"/>
      </items>
    </pivotField>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showAll="0"/>
    <pivotField showAll="0">
      <items count="5">
        <item x="3"/>
        <item x="0"/>
        <item x="1"/>
        <item x="2"/>
        <item t="default"/>
      </items>
    </pivotField>
    <pivotField axis="axisCol" showAll="0">
      <items count="8">
        <item x="0"/>
        <item x="1"/>
        <item x="3"/>
        <item x="4"/>
        <item x="5"/>
        <item x="6"/>
        <item x="2"/>
        <item t="default"/>
      </items>
    </pivotField>
  </pivotFields>
  <rowFields count="1">
    <field x="2"/>
  </rowFields>
  <rowItems count="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t="grand">
      <x/>
    </i>
  </rowItems>
  <colFields count="1">
    <field x="12"/>
  </colFields>
  <colItems count="8">
    <i>
      <x/>
    </i>
    <i>
      <x v="1"/>
    </i>
    <i>
      <x v="2"/>
    </i>
    <i>
      <x v="3"/>
    </i>
    <i>
      <x v="4"/>
    </i>
    <i>
      <x v="5"/>
    </i>
    <i>
      <x v="6"/>
    </i>
    <i t="grand">
      <x/>
    </i>
  </colItems>
  <dataFields count="1">
    <dataField name="Sum of SALES" fld="9" baseField="0" baseItem="0"/>
  </dataFields>
  <chartFormats count="4">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4" format="16"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8DD396-A091-4721-B67A-D207671D1995}"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J5:J6" firstHeaderRow="1" firstDataRow="1" firstDataCol="0"/>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showAll="0"/>
    <pivotField showAll="0">
      <items count="5">
        <item x="3"/>
        <item x="0"/>
        <item x="1"/>
        <item x="2"/>
        <item t="default"/>
      </items>
    </pivotField>
    <pivotField showAll="0">
      <items count="8">
        <item x="0"/>
        <item x="1"/>
        <item x="3"/>
        <item x="4"/>
        <item x="5"/>
        <item x="6"/>
        <item x="2"/>
        <item t="default"/>
      </items>
    </pivotField>
  </pivotFields>
  <rowItems count="1">
    <i/>
  </rowItems>
  <colItems count="1">
    <i/>
  </colItems>
  <dataFields count="1">
    <dataField name="Sum of SALES" fld="9" baseField="0" baseItem="0"/>
  </dataFields>
  <chartFormats count="4">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4" format="16"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4EBC96C-EDA1-42F1-BBB9-499C71F4E6AC}"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G22:H89" firstHeaderRow="1" firstDataRow="1" firstDataCol="1"/>
  <pivotFields count="13">
    <pivotField showAll="0"/>
    <pivotField showAll="0"/>
    <pivotField axis="axisRow" showAll="0" sortType="descending">
      <items count="67">
        <item x="13"/>
        <item x="57"/>
        <item x="10"/>
        <item x="14"/>
        <item x="58"/>
        <item x="22"/>
        <item x="8"/>
        <item x="16"/>
        <item x="15"/>
        <item x="19"/>
        <item x="21"/>
        <item x="34"/>
        <item x="31"/>
        <item x="4"/>
        <item x="59"/>
        <item x="3"/>
        <item x="50"/>
        <item x="18"/>
        <item x="63"/>
        <item x="33"/>
        <item x="1"/>
        <item x="56"/>
        <item x="53"/>
        <item x="55"/>
        <item x="45"/>
        <item x="0"/>
        <item x="51"/>
        <item x="62"/>
        <item x="52"/>
        <item x="6"/>
        <item x="2"/>
        <item x="29"/>
        <item x="38"/>
        <item x="23"/>
        <item x="40"/>
        <item x="47"/>
        <item x="12"/>
        <item x="7"/>
        <item x="54"/>
        <item x="24"/>
        <item x="39"/>
        <item x="25"/>
        <item x="9"/>
        <item x="5"/>
        <item x="44"/>
        <item x="48"/>
        <item x="27"/>
        <item x="41"/>
        <item x="26"/>
        <item x="35"/>
        <item x="36"/>
        <item x="30"/>
        <item x="28"/>
        <item x="42"/>
        <item x="37"/>
        <item x="11"/>
        <item x="46"/>
        <item x="43"/>
        <item x="65"/>
        <item x="64"/>
        <item x="61"/>
        <item x="17"/>
        <item x="60"/>
        <item x="49"/>
        <item x="32"/>
        <item x="20"/>
        <item t="default"/>
      </items>
      <autoSortScope>
        <pivotArea dataOnly="0" outline="0" fieldPosition="0">
          <references count="1">
            <reference field="4294967294" count="1" selected="0">
              <x v="0"/>
            </reference>
          </references>
        </pivotArea>
      </autoSortScope>
    </pivotField>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showAll="0"/>
    <pivotField showAll="0"/>
    <pivotField showAll="0">
      <items count="8">
        <item x="0"/>
        <item x="1"/>
        <item x="3"/>
        <item x="4"/>
        <item x="5"/>
        <item x="6"/>
        <item x="2"/>
        <item t="default"/>
      </items>
    </pivotField>
  </pivotFields>
  <rowFields count="1">
    <field x="2"/>
  </rowFields>
  <rowItems count="67">
    <i>
      <x v="16"/>
    </i>
    <i>
      <x v="15"/>
    </i>
    <i>
      <x v="25"/>
    </i>
    <i>
      <x v="63"/>
    </i>
    <i>
      <x v="40"/>
    </i>
    <i>
      <x v="61"/>
    </i>
    <i>
      <x v="57"/>
    </i>
    <i>
      <x v="6"/>
    </i>
    <i>
      <x v="41"/>
    </i>
    <i>
      <x v="44"/>
    </i>
    <i>
      <x v="43"/>
    </i>
    <i>
      <x v="35"/>
    </i>
    <i>
      <x v="47"/>
    </i>
    <i>
      <x v="50"/>
    </i>
    <i>
      <x v="29"/>
    </i>
    <i>
      <x v="33"/>
    </i>
    <i>
      <x v="48"/>
    </i>
    <i>
      <x v="10"/>
    </i>
    <i>
      <x v="37"/>
    </i>
    <i>
      <x v="53"/>
    </i>
    <i>
      <x v="30"/>
    </i>
    <i>
      <x v="39"/>
    </i>
    <i>
      <x v="8"/>
    </i>
    <i>
      <x v="64"/>
    </i>
    <i>
      <x v="34"/>
    </i>
    <i>
      <x v="24"/>
    </i>
    <i>
      <x v="32"/>
    </i>
    <i>
      <x v="7"/>
    </i>
    <i>
      <x v="56"/>
    </i>
    <i>
      <x v="54"/>
    </i>
    <i>
      <x v="13"/>
    </i>
    <i>
      <x v="5"/>
    </i>
    <i>
      <x v="38"/>
    </i>
    <i>
      <x v="28"/>
    </i>
    <i>
      <x v="3"/>
    </i>
    <i>
      <x v="9"/>
    </i>
    <i>
      <x v="26"/>
    </i>
    <i>
      <x v="62"/>
    </i>
    <i>
      <x v="20"/>
    </i>
    <i>
      <x v="51"/>
    </i>
    <i>
      <x v="55"/>
    </i>
    <i>
      <x v="11"/>
    </i>
    <i>
      <x v="49"/>
    </i>
    <i>
      <x v="31"/>
    </i>
    <i>
      <x v="27"/>
    </i>
    <i>
      <x v="22"/>
    </i>
    <i>
      <x v="18"/>
    </i>
    <i>
      <x v="52"/>
    </i>
    <i>
      <x v="4"/>
    </i>
    <i>
      <x v="60"/>
    </i>
    <i>
      <x v="45"/>
    </i>
    <i>
      <x v="2"/>
    </i>
    <i>
      <x v="17"/>
    </i>
    <i>
      <x v="46"/>
    </i>
    <i>
      <x v="21"/>
    </i>
    <i>
      <x v="23"/>
    </i>
    <i>
      <x v="1"/>
    </i>
    <i>
      <x/>
    </i>
    <i>
      <x v="42"/>
    </i>
    <i>
      <x v="36"/>
    </i>
    <i>
      <x v="12"/>
    </i>
    <i>
      <x v="59"/>
    </i>
    <i>
      <x v="14"/>
    </i>
    <i>
      <x v="65"/>
    </i>
    <i>
      <x v="19"/>
    </i>
    <i>
      <x v="58"/>
    </i>
    <i t="grand">
      <x/>
    </i>
  </rowItems>
  <colItems count="1">
    <i/>
  </colItems>
  <dataFields count="1">
    <dataField name="Sum of SALES" fld="9" baseField="0" baseItem="0"/>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D4B7FB-7F2B-45DE-B7D0-20944437828D}"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G3:H8" firstHeaderRow="1" firstDataRow="1" firstDataCol="1"/>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showAll="0"/>
    <pivotField axis="axisRow" showAll="0">
      <items count="5">
        <item x="3"/>
        <item x="0"/>
        <item x="1"/>
        <item x="2"/>
        <item t="default"/>
      </items>
    </pivotField>
    <pivotField showAll="0">
      <items count="8">
        <item x="0"/>
        <item x="1"/>
        <item x="3"/>
        <item x="4"/>
        <item x="5"/>
        <item x="6"/>
        <item x="2"/>
        <item t="default"/>
      </items>
    </pivotField>
  </pivotFields>
  <rowFields count="1">
    <field x="11"/>
  </rowFields>
  <rowItems count="5">
    <i>
      <x/>
    </i>
    <i>
      <x v="1"/>
    </i>
    <i>
      <x v="2"/>
    </i>
    <i>
      <x v="3"/>
    </i>
    <i t="grand">
      <x/>
    </i>
  </rowItems>
  <colItems count="1">
    <i/>
  </colItems>
  <dataFields count="1">
    <dataField name="Sum of SALES" fld="9" baseField="0" baseItem="0"/>
  </dataFields>
  <chartFormats count="16">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1" count="1" selected="0">
            <x v="0"/>
          </reference>
        </references>
      </pivotArea>
    </chartFormat>
    <chartFormat chart="2" format="8">
      <pivotArea type="data" outline="0" fieldPosition="0">
        <references count="2">
          <reference field="4294967294" count="1" selected="0">
            <x v="0"/>
          </reference>
          <reference field="11" count="1" selected="0">
            <x v="1"/>
          </reference>
        </references>
      </pivotArea>
    </chartFormat>
    <chartFormat chart="2" format="9">
      <pivotArea type="data" outline="0" fieldPosition="0">
        <references count="2">
          <reference field="4294967294" count="1" selected="0">
            <x v="0"/>
          </reference>
          <reference field="11" count="1" selected="0">
            <x v="2"/>
          </reference>
        </references>
      </pivotArea>
    </chartFormat>
    <chartFormat chart="2" format="10">
      <pivotArea type="data" outline="0" fieldPosition="0">
        <references count="2">
          <reference field="4294967294" count="1" selected="0">
            <x v="0"/>
          </reference>
          <reference field="11" count="1" selected="0">
            <x v="3"/>
          </reference>
        </references>
      </pivotArea>
    </chartFormat>
    <chartFormat chart="4" format="16" series="1">
      <pivotArea type="data" outline="0" fieldPosition="0">
        <references count="1">
          <reference field="4294967294" count="1" selected="0">
            <x v="0"/>
          </reference>
        </references>
      </pivotArea>
    </chartFormat>
    <chartFormat chart="4" format="17">
      <pivotArea type="data" outline="0" fieldPosition="0">
        <references count="2">
          <reference field="4294967294" count="1" selected="0">
            <x v="0"/>
          </reference>
          <reference field="11" count="1" selected="0">
            <x v="0"/>
          </reference>
        </references>
      </pivotArea>
    </chartFormat>
    <chartFormat chart="4" format="18">
      <pivotArea type="data" outline="0" fieldPosition="0">
        <references count="2">
          <reference field="4294967294" count="1" selected="0">
            <x v="0"/>
          </reference>
          <reference field="11" count="1" selected="0">
            <x v="1"/>
          </reference>
        </references>
      </pivotArea>
    </chartFormat>
    <chartFormat chart="4" format="19">
      <pivotArea type="data" outline="0" fieldPosition="0">
        <references count="2">
          <reference field="4294967294" count="1" selected="0">
            <x v="0"/>
          </reference>
          <reference field="11" count="1" selected="0">
            <x v="2"/>
          </reference>
        </references>
      </pivotArea>
    </chartFormat>
    <chartFormat chart="4" format="20">
      <pivotArea type="data" outline="0" fieldPosition="0">
        <references count="2">
          <reference field="4294967294" count="1" selected="0">
            <x v="0"/>
          </reference>
          <reference field="11" count="1" selected="0">
            <x v="3"/>
          </reference>
        </references>
      </pivotArea>
    </chartFormat>
    <chartFormat chart="6" format="26" series="1">
      <pivotArea type="data" outline="0" fieldPosition="0">
        <references count="1">
          <reference field="4294967294" count="1" selected="0">
            <x v="0"/>
          </reference>
        </references>
      </pivotArea>
    </chartFormat>
    <chartFormat chart="6" format="27">
      <pivotArea type="data" outline="0" fieldPosition="0">
        <references count="2">
          <reference field="4294967294" count="1" selected="0">
            <x v="0"/>
          </reference>
          <reference field="11" count="1" selected="0">
            <x v="0"/>
          </reference>
        </references>
      </pivotArea>
    </chartFormat>
    <chartFormat chart="6" format="28">
      <pivotArea type="data" outline="0" fieldPosition="0">
        <references count="2">
          <reference field="4294967294" count="1" selected="0">
            <x v="0"/>
          </reference>
          <reference field="11" count="1" selected="0">
            <x v="1"/>
          </reference>
        </references>
      </pivotArea>
    </chartFormat>
    <chartFormat chart="6" format="29">
      <pivotArea type="data" outline="0" fieldPosition="0">
        <references count="2">
          <reference field="4294967294" count="1" selected="0">
            <x v="0"/>
          </reference>
          <reference field="11" count="1" selected="0">
            <x v="2"/>
          </reference>
        </references>
      </pivotArea>
    </chartFormat>
    <chartFormat chart="6" format="30">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A0476D8-3FA8-405E-BE72-04BB422A442C}"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C11:D75" firstHeaderRow="1" firstDataRow="1" firstDataCol="1"/>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axis="axisRow" showAll="0" sortType="descending">
      <items count="64">
        <item x="17"/>
        <item x="1"/>
        <item x="55"/>
        <item x="2"/>
        <item x="18"/>
        <item x="35"/>
        <item x="20"/>
        <item x="16"/>
        <item x="53"/>
        <item x="6"/>
        <item x="39"/>
        <item x="13"/>
        <item x="4"/>
        <item x="49"/>
        <item x="61"/>
        <item x="60"/>
        <item x="57"/>
        <item x="37"/>
        <item x="44"/>
        <item x="42"/>
        <item x="32"/>
        <item x="7"/>
        <item x="30"/>
        <item x="36"/>
        <item x="29"/>
        <item x="25"/>
        <item x="51"/>
        <item x="52"/>
        <item x="34"/>
        <item x="56"/>
        <item x="28"/>
        <item x="15"/>
        <item x="50"/>
        <item x="21"/>
        <item x="41"/>
        <item x="3"/>
        <item x="10"/>
        <item x="59"/>
        <item x="14"/>
        <item x="0"/>
        <item x="40"/>
        <item x="54"/>
        <item x="12"/>
        <item x="58"/>
        <item x="8"/>
        <item x="19"/>
        <item x="22"/>
        <item x="9"/>
        <item x="26"/>
        <item x="27"/>
        <item x="23"/>
        <item x="47"/>
        <item x="48"/>
        <item x="11"/>
        <item x="33"/>
        <item x="46"/>
        <item x="62"/>
        <item x="24"/>
        <item x="45"/>
        <item x="31"/>
        <item x="38"/>
        <item x="43"/>
        <item x="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8">
        <item x="0"/>
        <item x="1"/>
        <item x="3"/>
        <item x="4"/>
        <item x="5"/>
        <item x="6"/>
        <item x="2"/>
        <item t="default"/>
      </items>
    </pivotField>
  </pivotFields>
  <rowFields count="1">
    <field x="6"/>
  </rowFields>
  <rowItems count="64">
    <i>
      <x v="27"/>
    </i>
    <i>
      <x v="26"/>
    </i>
    <i>
      <x v="40"/>
    </i>
    <i>
      <x v="34"/>
    </i>
    <i>
      <x v="58"/>
    </i>
    <i>
      <x v="39"/>
    </i>
    <i>
      <x v="46"/>
    </i>
    <i>
      <x v="45"/>
    </i>
    <i>
      <x v="56"/>
    </i>
    <i>
      <x v="47"/>
    </i>
    <i>
      <x v="1"/>
    </i>
    <i>
      <x v="13"/>
    </i>
    <i>
      <x v="19"/>
    </i>
    <i>
      <x v="32"/>
    </i>
    <i>
      <x v="61"/>
    </i>
    <i>
      <x v="60"/>
    </i>
    <i>
      <x v="24"/>
    </i>
    <i>
      <x v="55"/>
    </i>
    <i>
      <x v="11"/>
    </i>
    <i>
      <x v="6"/>
    </i>
    <i>
      <x v="52"/>
    </i>
    <i>
      <x v="18"/>
    </i>
    <i>
      <x v="49"/>
    </i>
    <i>
      <x v="36"/>
    </i>
    <i>
      <x v="21"/>
    </i>
    <i>
      <x v="50"/>
    </i>
    <i>
      <x v="53"/>
    </i>
    <i>
      <x v="51"/>
    </i>
    <i>
      <x v="35"/>
    </i>
    <i>
      <x v="42"/>
    </i>
    <i>
      <x v="44"/>
    </i>
    <i>
      <x v="10"/>
    </i>
    <i>
      <x v="33"/>
    </i>
    <i>
      <x v="30"/>
    </i>
    <i>
      <x v="37"/>
    </i>
    <i>
      <x v="41"/>
    </i>
    <i>
      <x v="43"/>
    </i>
    <i>
      <x v="57"/>
    </i>
    <i>
      <x v="4"/>
    </i>
    <i>
      <x v="7"/>
    </i>
    <i>
      <x v="8"/>
    </i>
    <i>
      <x v="29"/>
    </i>
    <i>
      <x/>
    </i>
    <i>
      <x v="23"/>
    </i>
    <i>
      <x v="48"/>
    </i>
    <i>
      <x v="20"/>
    </i>
    <i>
      <x v="28"/>
    </i>
    <i>
      <x v="2"/>
    </i>
    <i>
      <x v="59"/>
    </i>
    <i>
      <x v="22"/>
    </i>
    <i>
      <x v="38"/>
    </i>
    <i>
      <x v="17"/>
    </i>
    <i>
      <x v="16"/>
    </i>
    <i>
      <x v="12"/>
    </i>
    <i>
      <x v="3"/>
    </i>
    <i>
      <x v="9"/>
    </i>
    <i>
      <x v="31"/>
    </i>
    <i>
      <x v="25"/>
    </i>
    <i>
      <x v="54"/>
    </i>
    <i>
      <x v="15"/>
    </i>
    <i>
      <x v="5"/>
    </i>
    <i>
      <x v="62"/>
    </i>
    <i>
      <x v="14"/>
    </i>
    <i t="grand">
      <x/>
    </i>
  </rowItems>
  <colItems count="1">
    <i/>
  </colItems>
  <dataFields count="1">
    <dataField name="Sum of SALES" fld="9" baseField="0" baseItem="0"/>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9393784-5A10-4397-845E-CEDBA7A90B24}" name="PivotTable5"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0">
  <location ref="D3:E7" firstHeaderRow="1" firstDataRow="1" firstDataCol="1"/>
  <pivotFields count="13">
    <pivotField showAll="0"/>
    <pivotField showAll="0"/>
    <pivotField showAll="0"/>
    <pivotField showAll="0">
      <items count="3">
        <item x="1"/>
        <item x="0"/>
        <item t="default"/>
      </items>
    </pivotField>
    <pivotField axis="axisRow" showAll="0">
      <items count="4">
        <item x="1"/>
        <item x="0"/>
        <item x="2"/>
        <item t="default"/>
      </items>
    </pivotField>
    <pivotField showAll="0"/>
    <pivotField showAll="0"/>
    <pivotField showAll="0"/>
    <pivotField showAll="0"/>
    <pivotField dataField="1" showAll="0"/>
    <pivotField showAll="0"/>
    <pivotField showAll="0"/>
    <pivotField showAll="0">
      <items count="8">
        <item x="0"/>
        <item x="1"/>
        <item x="3"/>
        <item x="4"/>
        <item x="5"/>
        <item x="6"/>
        <item x="2"/>
        <item t="default"/>
      </items>
    </pivotField>
  </pivotFields>
  <rowFields count="1">
    <field x="4"/>
  </rowFields>
  <rowItems count="4">
    <i>
      <x/>
    </i>
    <i>
      <x v="1"/>
    </i>
    <i>
      <x v="2"/>
    </i>
    <i t="grand">
      <x/>
    </i>
  </rowItems>
  <colItems count="1">
    <i/>
  </colItems>
  <dataFields count="1">
    <dataField name="Sum of SALES" fld="9" baseField="0" baseItem="0"/>
  </dataFields>
  <chartFormats count="13">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2">
          <reference field="4294967294" count="1" selected="0">
            <x v="0"/>
          </reference>
          <reference field="4" count="1" selected="0">
            <x v="2"/>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4" count="1" selected="0">
            <x v="0"/>
          </reference>
        </references>
      </pivotArea>
    </chartFormat>
    <chartFormat chart="4" format="15">
      <pivotArea type="data" outline="0" fieldPosition="0">
        <references count="2">
          <reference field="4294967294" count="1" selected="0">
            <x v="0"/>
          </reference>
          <reference field="4" count="1" selected="0">
            <x v="1"/>
          </reference>
        </references>
      </pivotArea>
    </chartFormat>
    <chartFormat chart="4" format="16">
      <pivotArea type="data" outline="0" fieldPosition="0">
        <references count="2">
          <reference field="4294967294" count="1" selected="0">
            <x v="0"/>
          </reference>
          <reference field="4" count="1" selected="0">
            <x v="2"/>
          </reference>
        </references>
      </pivotArea>
    </chartFormat>
    <chartFormat chart="9" format="21" series="1">
      <pivotArea type="data" outline="0" fieldPosition="0">
        <references count="1">
          <reference field="4294967294" count="1" selected="0">
            <x v="0"/>
          </reference>
        </references>
      </pivotArea>
    </chartFormat>
    <chartFormat chart="9" format="22">
      <pivotArea type="data" outline="0" fieldPosition="0">
        <references count="2">
          <reference field="4294967294" count="1" selected="0">
            <x v="0"/>
          </reference>
          <reference field="4" count="1" selected="0">
            <x v="0"/>
          </reference>
        </references>
      </pivotArea>
    </chartFormat>
    <chartFormat chart="9" format="23">
      <pivotArea type="data" outline="0" fieldPosition="0">
        <references count="2">
          <reference field="4294967294" count="1" selected="0">
            <x v="0"/>
          </reference>
          <reference field="4" count="1" selected="0">
            <x v="1"/>
          </reference>
        </references>
      </pivotArea>
    </chartFormat>
    <chartFormat chart="9" format="24">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BA480D1-7DCC-47B4-8709-40992AE956D2}" name="PivotTable4"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9">
  <location ref="A3:B6" firstHeaderRow="1" firstDataRow="1" firstDataCol="1"/>
  <pivotFields count="13">
    <pivotField showAll="0"/>
    <pivotField showAll="0"/>
    <pivotField showAll="0"/>
    <pivotField axis="axisRow" showAll="0">
      <items count="3">
        <item x="1"/>
        <item x="0"/>
        <item t="default"/>
      </items>
    </pivotField>
    <pivotField showAll="0"/>
    <pivotField showAll="0"/>
    <pivotField showAll="0"/>
    <pivotField showAll="0"/>
    <pivotField showAll="0"/>
    <pivotField dataField="1" showAll="0"/>
    <pivotField showAll="0"/>
    <pivotField showAll="0"/>
    <pivotField showAll="0">
      <items count="8">
        <item x="0"/>
        <item x="1"/>
        <item x="3"/>
        <item x="4"/>
        <item x="5"/>
        <item x="6"/>
        <item x="2"/>
        <item t="default"/>
      </items>
    </pivotField>
  </pivotFields>
  <rowFields count="1">
    <field x="3"/>
  </rowFields>
  <rowItems count="3">
    <i>
      <x/>
    </i>
    <i>
      <x v="1"/>
    </i>
    <i t="grand">
      <x/>
    </i>
  </rowItems>
  <colItems count="1">
    <i/>
  </colItems>
  <dataFields count="1">
    <dataField name="Sum of SALES" fld="9" baseField="0" baseItem="0"/>
  </dataFields>
  <chartFormats count="8">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3" count="1" selected="0">
            <x v="0"/>
          </reference>
        </references>
      </pivotArea>
    </chartFormat>
    <chartFormat chart="18" format="8" series="1">
      <pivotArea type="data" outline="0" fieldPosition="0">
        <references count="1">
          <reference field="4294967294" count="1" selected="0">
            <x v="0"/>
          </reference>
        </references>
      </pivotArea>
    </chartFormat>
    <chartFormat chart="18" format="9">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E5A26AF-F765-4F43-88EC-579AE4511DC2}" name="PivotTable1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H4:I6" firstHeaderRow="1" firstDataRow="1" firstDataCol="1"/>
  <pivotFields count="12">
    <pivotField showAll="0"/>
    <pivotField showAll="0"/>
    <pivotField showAll="0"/>
    <pivotField showAll="0">
      <items count="3">
        <item x="1"/>
        <item x="0"/>
        <item t="default"/>
      </items>
    </pivotField>
    <pivotField axis="axisRow" showAll="0">
      <items count="4">
        <item x="1"/>
        <item x="0"/>
        <item x="2"/>
        <item t="default"/>
      </items>
    </pivotField>
    <pivotField showAll="0"/>
    <pivotField showAll="0"/>
    <pivotField showAll="0"/>
    <pivotField showAll="0"/>
    <pivotField dataField="1" showAll="0"/>
    <pivotField showAll="0">
      <items count="44">
        <item h="1" x="24"/>
        <item h="1" x="3"/>
        <item h="1" x="19"/>
        <item h="1" x="31"/>
        <item h="1" x="21"/>
        <item h="1" x="32"/>
        <item h="1" x="40"/>
        <item x="12"/>
        <item h="1" x="0"/>
        <item h="1" x="35"/>
        <item h="1" x="17"/>
        <item h="1" x="13"/>
        <item h="1" x="27"/>
        <item h="1" x="7"/>
        <item h="1" x="29"/>
        <item h="1" x="39"/>
        <item h="1" x="26"/>
        <item h="1" x="5"/>
        <item h="1" x="1"/>
        <item h="1" x="4"/>
        <item h="1" x="14"/>
        <item h="1" x="22"/>
        <item h="1" x="11"/>
        <item h="1" x="28"/>
        <item h="1" x="36"/>
        <item h="1" x="6"/>
        <item h="1" x="10"/>
        <item h="1" x="15"/>
        <item h="1" x="8"/>
        <item h="1" x="2"/>
        <item h="1" x="25"/>
        <item h="1" x="34"/>
        <item h="1" x="18"/>
        <item h="1" x="37"/>
        <item h="1" x="38"/>
        <item h="1" x="30"/>
        <item h="1" x="42"/>
        <item h="1" x="16"/>
        <item h="1" x="20"/>
        <item h="1" x="9"/>
        <item h="1" x="33"/>
        <item h="1" x="23"/>
        <item h="1" x="41"/>
        <item t="default"/>
      </items>
    </pivotField>
    <pivotField showAll="0"/>
  </pivotFields>
  <rowFields count="1">
    <field x="4"/>
  </rowFields>
  <rowItems count="2">
    <i>
      <x v="2"/>
    </i>
    <i t="grand">
      <x/>
    </i>
  </rowItems>
  <colItems count="1">
    <i/>
  </colItems>
  <dataFields count="1">
    <dataField name="Sum of SALES" fld="9"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7D6D3A4-F90A-4826-B957-0701D38DC709}" name="PivotTable1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5" firstHeaderRow="1" firstDataRow="1" firstDataCol="1"/>
  <pivotFields count="12">
    <pivotField showAll="0"/>
    <pivotField showAll="0"/>
    <pivotField showAll="0"/>
    <pivotField axis="axisRow" showAll="0">
      <items count="3">
        <item x="1"/>
        <item x="0"/>
        <item t="default"/>
      </items>
    </pivotField>
    <pivotField showAll="0"/>
    <pivotField showAll="0"/>
    <pivotField showAll="0"/>
    <pivotField showAll="0"/>
    <pivotField showAll="0"/>
    <pivotField dataField="1" showAll="0"/>
    <pivotField showAll="0">
      <items count="44">
        <item h="1" x="24"/>
        <item h="1" x="3"/>
        <item h="1" x="19"/>
        <item h="1" x="31"/>
        <item h="1" x="21"/>
        <item h="1" x="32"/>
        <item h="1" x="40"/>
        <item x="12"/>
        <item h="1" x="0"/>
        <item h="1" x="35"/>
        <item h="1" x="17"/>
        <item h="1" x="13"/>
        <item h="1" x="27"/>
        <item h="1" x="7"/>
        <item h="1" x="29"/>
        <item h="1" x="39"/>
        <item h="1" x="26"/>
        <item h="1" x="5"/>
        <item h="1" x="1"/>
        <item h="1" x="4"/>
        <item h="1" x="14"/>
        <item h="1" x="22"/>
        <item h="1" x="11"/>
        <item h="1" x="28"/>
        <item h="1" x="36"/>
        <item h="1" x="6"/>
        <item h="1" x="10"/>
        <item h="1" x="15"/>
        <item h="1" x="8"/>
        <item h="1" x="2"/>
        <item h="1" x="25"/>
        <item h="1" x="34"/>
        <item h="1" x="18"/>
        <item h="1" x="37"/>
        <item h="1" x="38"/>
        <item h="1" x="30"/>
        <item h="1" x="42"/>
        <item h="1" x="16"/>
        <item h="1" x="20"/>
        <item h="1" x="9"/>
        <item h="1" x="33"/>
        <item h="1" x="23"/>
        <item h="1" x="41"/>
        <item t="default"/>
      </items>
    </pivotField>
    <pivotField showAll="0"/>
  </pivotFields>
  <rowFields count="1">
    <field x="3"/>
  </rowFields>
  <rowItems count="2">
    <i>
      <x/>
    </i>
    <i t="grand">
      <x/>
    </i>
  </rowItems>
  <colItems count="1">
    <i/>
  </colItems>
  <dataFields count="1">
    <dataField name="Sum of SALES"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850A3A0-5B61-4B12-919D-DA04A0328BB5}"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D5:D6" firstHeaderRow="1" firstDataRow="1" firstDataCol="0"/>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showAll="0"/>
    <pivotField showAll="0">
      <items count="5">
        <item x="3"/>
        <item x="0"/>
        <item x="1"/>
        <item x="2"/>
        <item t="default"/>
      </items>
    </pivotField>
    <pivotField showAll="0">
      <items count="8">
        <item x="0"/>
        <item x="1"/>
        <item x="3"/>
        <item x="4"/>
        <item x="5"/>
        <item x="6"/>
        <item x="2"/>
        <item t="default"/>
      </items>
    </pivotField>
  </pivotFields>
  <rowItems count="1">
    <i/>
  </rowItems>
  <colItems count="1">
    <i/>
  </colItems>
  <dataFields count="1">
    <dataField name="TOTAL SALES" fld="9" baseField="0" baseItem="32"/>
  </dataFields>
  <formats count="3">
    <format dxfId="71">
      <pivotArea type="all" dataOnly="0" outline="0" fieldPosition="0"/>
    </format>
    <format dxfId="70">
      <pivotArea outline="0" collapsedLevelsAreSubtotals="1" fieldPosition="0"/>
    </format>
    <format dxfId="69">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4" format="16"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8AE4FEE-DF76-4129-9338-67F314DCFAA3}" name="PivotTable1"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7">
  <location ref="C5:D15" firstHeaderRow="1" firstDataRow="1" firstDataCol="1"/>
  <pivotFields count="13">
    <pivotField showAll="0"/>
    <pivotField showAll="0"/>
    <pivotField showAll="0"/>
    <pivotField showAll="0">
      <items count="3">
        <item x="1"/>
        <item x="0"/>
        <item t="default"/>
      </items>
    </pivotField>
    <pivotField showAll="0">
      <items count="4">
        <item x="1"/>
        <item x="0"/>
        <item x="2"/>
        <item t="default"/>
      </items>
    </pivotField>
    <pivotField showAll="0"/>
    <pivotField axis="axisRow" showAll="0" measureFilter="1" sortType="descending">
      <items count="64">
        <item x="17"/>
        <item x="1"/>
        <item x="55"/>
        <item x="2"/>
        <item x="18"/>
        <item x="35"/>
        <item x="20"/>
        <item x="16"/>
        <item x="53"/>
        <item x="6"/>
        <item x="39"/>
        <item x="13"/>
        <item x="4"/>
        <item x="49"/>
        <item x="61"/>
        <item x="60"/>
        <item x="57"/>
        <item x="37"/>
        <item x="44"/>
        <item x="42"/>
        <item x="32"/>
        <item x="7"/>
        <item x="30"/>
        <item x="36"/>
        <item x="29"/>
        <item x="25"/>
        <item x="51"/>
        <item x="52"/>
        <item x="34"/>
        <item x="56"/>
        <item x="28"/>
        <item x="15"/>
        <item x="50"/>
        <item x="21"/>
        <item x="41"/>
        <item x="3"/>
        <item x="10"/>
        <item x="59"/>
        <item x="14"/>
        <item x="0"/>
        <item x="40"/>
        <item x="54"/>
        <item x="12"/>
        <item x="58"/>
        <item x="8"/>
        <item x="19"/>
        <item x="22"/>
        <item x="9"/>
        <item x="26"/>
        <item x="27"/>
        <item x="23"/>
        <item x="47"/>
        <item x="48"/>
        <item x="11"/>
        <item x="33"/>
        <item x="46"/>
        <item x="62"/>
        <item x="24"/>
        <item x="45"/>
        <item x="31"/>
        <item x="38"/>
        <item x="43"/>
        <item x="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8">
        <item x="0"/>
        <item x="1"/>
        <item x="3"/>
        <item x="4"/>
        <item x="5"/>
        <item x="6"/>
        <item x="2"/>
        <item t="default"/>
      </items>
    </pivotField>
  </pivotFields>
  <rowFields count="1">
    <field x="6"/>
  </rowFields>
  <rowItems count="10">
    <i>
      <x v="27"/>
    </i>
    <i>
      <x v="26"/>
    </i>
    <i>
      <x v="40"/>
    </i>
    <i>
      <x v="34"/>
    </i>
    <i>
      <x v="58"/>
    </i>
    <i>
      <x v="39"/>
    </i>
    <i>
      <x v="46"/>
    </i>
    <i>
      <x v="45"/>
    </i>
    <i>
      <x v="56"/>
    </i>
    <i>
      <x v="47"/>
    </i>
  </rowItems>
  <colItems count="1">
    <i/>
  </colItems>
  <dataFields count="1">
    <dataField name="Sum of SALES" fld="9" baseField="0" baseItem="0"/>
  </dataFields>
  <formats count="41">
    <format dxfId="68">
      <pivotArea type="all" dataOnly="0" outline="0" fieldPosition="0"/>
    </format>
    <format dxfId="67">
      <pivotArea outline="0" collapsedLevelsAreSubtotals="1" fieldPosition="0"/>
    </format>
    <format dxfId="66">
      <pivotArea field="6" type="button" dataOnly="0" labelOnly="1" outline="0" axis="axisRow" fieldPosition="0"/>
    </format>
    <format dxfId="65">
      <pivotArea dataOnly="0" labelOnly="1" fieldPosition="0">
        <references count="1">
          <reference field="6" count="10">
            <x v="26"/>
            <x v="27"/>
            <x v="34"/>
            <x v="39"/>
            <x v="40"/>
            <x v="45"/>
            <x v="46"/>
            <x v="47"/>
            <x v="56"/>
            <x v="58"/>
          </reference>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6" type="button" dataOnly="0" labelOnly="1" outline="0" axis="axisRow" fieldPosition="0"/>
    </format>
    <format dxfId="59">
      <pivotArea dataOnly="0" labelOnly="1" fieldPosition="0">
        <references count="1">
          <reference field="6" count="10">
            <x v="26"/>
            <x v="27"/>
            <x v="34"/>
            <x v="39"/>
            <x v="40"/>
            <x v="45"/>
            <x v="46"/>
            <x v="47"/>
            <x v="56"/>
            <x v="58"/>
          </reference>
        </references>
      </pivotArea>
    </format>
    <format dxfId="58">
      <pivotArea dataOnly="0" labelOnly="1" grandRow="1" outline="0" fieldPosition="0"/>
    </format>
    <format dxfId="57">
      <pivotArea dataOnly="0" labelOnly="1" outline="0" axis="axisValues" fieldPosition="0"/>
    </format>
    <format dxfId="56">
      <pivotArea type="all" dataOnly="0" outline="0" fieldPosition="0"/>
    </format>
    <format dxfId="55">
      <pivotArea outline="0" collapsedLevelsAreSubtotals="1" fieldPosition="0"/>
    </format>
    <format dxfId="54">
      <pivotArea field="6" type="button" dataOnly="0" labelOnly="1" outline="0" axis="axisRow" fieldPosition="0"/>
    </format>
    <format dxfId="53">
      <pivotArea dataOnly="0" labelOnly="1" fieldPosition="0">
        <references count="1">
          <reference field="6" count="10">
            <x v="26"/>
            <x v="27"/>
            <x v="34"/>
            <x v="39"/>
            <x v="40"/>
            <x v="45"/>
            <x v="46"/>
            <x v="47"/>
            <x v="56"/>
            <x v="58"/>
          </reference>
        </references>
      </pivotArea>
    </format>
    <format dxfId="52">
      <pivotArea dataOnly="0" labelOnly="1" grandRow="1" outline="0"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6" type="button" dataOnly="0" labelOnly="1" outline="0" axis="axisRow" fieldPosition="0"/>
    </format>
    <format dxfId="47">
      <pivotArea dataOnly="0" labelOnly="1" fieldPosition="0">
        <references count="1">
          <reference field="6" count="10">
            <x v="26"/>
            <x v="27"/>
            <x v="34"/>
            <x v="39"/>
            <x v="40"/>
            <x v="45"/>
            <x v="46"/>
            <x v="47"/>
            <x v="56"/>
            <x v="58"/>
          </reference>
        </references>
      </pivotArea>
    </format>
    <format dxfId="46">
      <pivotArea dataOnly="0" labelOnly="1" grandRow="1" outline="0"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6" type="button" dataOnly="0" labelOnly="1" outline="0" axis="axisRow" fieldPosition="0"/>
    </format>
    <format dxfId="41">
      <pivotArea dataOnly="0" labelOnly="1" fieldPosition="0">
        <references count="1">
          <reference field="6" count="10">
            <x v="26"/>
            <x v="27"/>
            <x v="34"/>
            <x v="39"/>
            <x v="40"/>
            <x v="45"/>
            <x v="46"/>
            <x v="47"/>
            <x v="56"/>
            <x v="58"/>
          </reference>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6" type="button" dataOnly="0" labelOnly="1" outline="0" axis="axisRow" fieldPosition="0"/>
    </format>
    <format dxfId="35">
      <pivotArea dataOnly="0" labelOnly="1" fieldPosition="0">
        <references count="1">
          <reference field="6" count="10">
            <x v="26"/>
            <x v="27"/>
            <x v="34"/>
            <x v="39"/>
            <x v="40"/>
            <x v="45"/>
            <x v="46"/>
            <x v="47"/>
            <x v="56"/>
            <x v="58"/>
          </reference>
        </references>
      </pivotArea>
    </format>
    <format dxfId="34">
      <pivotArea dataOnly="0" labelOnly="1" grandRow="1" outline="0" fieldPosition="0"/>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6" type="button" dataOnly="0" labelOnly="1" outline="0" axis="axisRow" fieldPosition="0"/>
    </format>
    <format dxfId="29">
      <pivotArea dataOnly="0" labelOnly="1" fieldPosition="0">
        <references count="1">
          <reference field="6" count="10">
            <x v="26"/>
            <x v="27"/>
            <x v="34"/>
            <x v="39"/>
            <x v="40"/>
            <x v="45"/>
            <x v="46"/>
            <x v="47"/>
            <x v="56"/>
            <x v="58"/>
          </reference>
        </references>
      </pivotArea>
    </format>
    <format dxfId="28">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932C859-52C1-40F5-8B82-8D99F64D0338}" name="PivotTable2"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7">
  <location ref="C5:D15" firstHeaderRow="1" firstDataRow="1" firstDataCol="1"/>
  <pivotFields count="13">
    <pivotField showAll="0"/>
    <pivotField showAll="0"/>
    <pivotField axis="axisRow" showAll="0" measureFilter="1" sortType="descending">
      <items count="67">
        <item x="13"/>
        <item x="57"/>
        <item x="10"/>
        <item x="14"/>
        <item x="58"/>
        <item x="22"/>
        <item x="8"/>
        <item x="16"/>
        <item x="15"/>
        <item x="19"/>
        <item x="21"/>
        <item x="34"/>
        <item x="31"/>
        <item x="4"/>
        <item x="59"/>
        <item x="3"/>
        <item x="50"/>
        <item x="18"/>
        <item x="63"/>
        <item x="33"/>
        <item x="1"/>
        <item x="56"/>
        <item x="53"/>
        <item x="55"/>
        <item x="45"/>
        <item x="0"/>
        <item x="51"/>
        <item x="62"/>
        <item x="52"/>
        <item x="6"/>
        <item x="2"/>
        <item x="29"/>
        <item x="38"/>
        <item x="23"/>
        <item x="40"/>
        <item x="47"/>
        <item x="12"/>
        <item x="7"/>
        <item x="54"/>
        <item x="24"/>
        <item x="39"/>
        <item x="25"/>
        <item x="9"/>
        <item x="5"/>
        <item x="44"/>
        <item x="48"/>
        <item x="27"/>
        <item x="41"/>
        <item x="26"/>
        <item x="35"/>
        <item x="36"/>
        <item x="30"/>
        <item x="28"/>
        <item x="42"/>
        <item x="37"/>
        <item x="11"/>
        <item x="46"/>
        <item x="43"/>
        <item x="65"/>
        <item x="64"/>
        <item x="61"/>
        <item x="17"/>
        <item x="60"/>
        <item x="49"/>
        <item x="32"/>
        <item x="20"/>
        <item t="default"/>
      </items>
      <autoSortScope>
        <pivotArea dataOnly="0" outline="0" fieldPosition="0">
          <references count="1">
            <reference field="4294967294" count="1" selected="0">
              <x v="0"/>
            </reference>
          </references>
        </pivotArea>
      </autoSortScope>
    </pivotField>
    <pivotField showAll="0">
      <items count="3">
        <item x="1"/>
        <item x="0"/>
        <item t="default"/>
      </items>
    </pivotField>
    <pivotField showAll="0">
      <items count="4">
        <item x="1"/>
        <item x="0"/>
        <item x="2"/>
        <item t="default"/>
      </items>
    </pivotField>
    <pivotField showAll="0"/>
    <pivotField showAll="0"/>
    <pivotField showAll="0"/>
    <pivotField showAll="0"/>
    <pivotField dataField="1" showAll="0"/>
    <pivotField showAll="0"/>
    <pivotField showAll="0"/>
    <pivotField showAll="0">
      <items count="8">
        <item x="0"/>
        <item x="1"/>
        <item x="3"/>
        <item x="4"/>
        <item x="5"/>
        <item x="6"/>
        <item x="2"/>
        <item t="default"/>
      </items>
    </pivotField>
  </pivotFields>
  <rowFields count="1">
    <field x="2"/>
  </rowFields>
  <rowItems count="10">
    <i>
      <x v="16"/>
    </i>
    <i>
      <x v="15"/>
    </i>
    <i>
      <x v="25"/>
    </i>
    <i>
      <x v="63"/>
    </i>
    <i>
      <x v="40"/>
    </i>
    <i>
      <x v="61"/>
    </i>
    <i>
      <x v="57"/>
    </i>
    <i>
      <x v="6"/>
    </i>
    <i>
      <x v="41"/>
    </i>
    <i>
      <x v="44"/>
    </i>
  </rowItems>
  <colItems count="1">
    <i/>
  </colItems>
  <dataFields count="1">
    <dataField name="Sum of SALES" fld="9" baseField="0" baseItem="0"/>
  </dataFields>
  <formats count="24">
    <format dxfId="27">
      <pivotArea type="all" dataOnly="0" outline="0" fieldPosition="0"/>
    </format>
    <format dxfId="26">
      <pivotArea outline="0" collapsedLevelsAreSubtotals="1" fieldPosition="0"/>
    </format>
    <format dxfId="25">
      <pivotArea field="2" type="button" dataOnly="0" labelOnly="1" outline="0" axis="axisRow" fieldPosition="0"/>
    </format>
    <format dxfId="24">
      <pivotArea dataOnly="0" labelOnly="1" fieldPosition="0">
        <references count="1">
          <reference field="2" count="10">
            <x v="6"/>
            <x v="15"/>
            <x v="16"/>
            <x v="25"/>
            <x v="40"/>
            <x v="41"/>
            <x v="44"/>
            <x v="57"/>
            <x v="61"/>
            <x v="63"/>
          </reference>
        </references>
      </pivotArea>
    </format>
    <format dxfId="23">
      <pivotArea dataOnly="0" labelOnly="1" grandRow="1" outline="0" fieldPosition="0"/>
    </format>
    <format dxfId="22">
      <pivotArea dataOnly="0" labelOnly="1" outline="0" axis="axisValues" fieldPosition="0"/>
    </format>
    <format dxfId="21">
      <pivotArea type="all" dataOnly="0" outline="0" fieldPosition="0"/>
    </format>
    <format dxfId="20">
      <pivotArea outline="0" collapsedLevelsAreSubtotals="1" fieldPosition="0"/>
    </format>
    <format dxfId="19">
      <pivotArea field="2" type="button" dataOnly="0" labelOnly="1" outline="0" axis="axisRow" fieldPosition="0"/>
    </format>
    <format dxfId="18">
      <pivotArea dataOnly="0" labelOnly="1" fieldPosition="0">
        <references count="1">
          <reference field="2" count="10">
            <x v="6"/>
            <x v="15"/>
            <x v="16"/>
            <x v="25"/>
            <x v="40"/>
            <x v="41"/>
            <x v="44"/>
            <x v="57"/>
            <x v="61"/>
            <x v="63"/>
          </reference>
        </references>
      </pivotArea>
    </format>
    <format dxfId="17">
      <pivotArea dataOnly="0" labelOnly="1" grandRow="1" outline="0" fieldPosition="0"/>
    </format>
    <format dxfId="16">
      <pivotArea dataOnly="0" labelOnly="1" outline="0" axis="axisValues" fieldPosition="0"/>
    </format>
    <format dxfId="15">
      <pivotArea type="all" dataOnly="0" outline="0" fieldPosition="0"/>
    </format>
    <format dxfId="14">
      <pivotArea outline="0" collapsedLevelsAreSubtotals="1" fieldPosition="0"/>
    </format>
    <format dxfId="13">
      <pivotArea field="2" type="button" dataOnly="0" labelOnly="1" outline="0" axis="axisRow" fieldPosition="0"/>
    </format>
    <format dxfId="12">
      <pivotArea dataOnly="0" labelOnly="1" fieldPosition="0">
        <references count="1">
          <reference field="2" count="10">
            <x v="6"/>
            <x v="15"/>
            <x v="16"/>
            <x v="25"/>
            <x v="40"/>
            <x v="41"/>
            <x v="44"/>
            <x v="57"/>
            <x v="61"/>
            <x v="63"/>
          </reference>
        </references>
      </pivotArea>
    </format>
    <format dxfId="11">
      <pivotArea dataOnly="0" labelOnly="1" grandRow="1" outline="0"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2" type="button" dataOnly="0" labelOnly="1" outline="0" axis="axisRow" fieldPosition="0"/>
    </format>
    <format dxfId="6">
      <pivotArea dataOnly="0" labelOnly="1" fieldPosition="0">
        <references count="1">
          <reference field="2" count="10">
            <x v="6"/>
            <x v="15"/>
            <x v="16"/>
            <x v="25"/>
            <x v="40"/>
            <x v="41"/>
            <x v="44"/>
            <x v="57"/>
            <x v="61"/>
            <x v="63"/>
          </reference>
        </references>
      </pivotArea>
    </format>
    <format dxfId="5">
      <pivotArea dataOnly="0" labelOnly="1" grandRow="1" outline="0" fieldPosition="0"/>
    </format>
    <format dxfId="4">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5F3A5282-2897-4D6C-A3EA-95A5EB4C2811}" sourceName="MONTH">
  <pivotTables>
    <pivotTable tabId="12" name="PivotTable4"/>
    <pivotTable tabId="12" name="PivotTable5"/>
    <pivotTable tabId="12" name="PivotTable6"/>
    <pivotTable tabId="12" name="PivotTable7"/>
    <pivotTable tabId="12" name="PivotTable2"/>
    <pivotTable tabId="8" name="PivotTable2"/>
    <pivotTable tabId="12" name="PivotTable1"/>
    <pivotTable tabId="12" name="PivotTable11"/>
  </pivotTables>
  <data>
    <tabular pivotCacheId="1848816149">
      <items count="7">
        <i x="3" s="1"/>
        <i x="6" s="1"/>
        <i x="0" s="1"/>
        <i x="1" s="1"/>
        <i x="4" s="1"/>
        <i x="5"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99C825C9-F5FA-42FE-9142-8D6EE4C2F100}" sourceName="GENDER">
  <pivotTables>
    <pivotTable tabId="12" name="PivotTable4"/>
  </pivotTables>
  <data>
    <tabular pivotCacheId="1848816149">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498B544-E8F8-47F4-90CE-C8BBC27A21B6}" sourceName="SEGMENT">
  <pivotTables>
    <pivotTable tabId="12" name="PivotTable5"/>
  </pivotTables>
  <data>
    <tabular pivotCacheId="1848816149">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415D295-C01C-4ADE-9B6D-B9ECFA6C1ED8}" sourceName="REGION">
  <pivotTables>
    <pivotTable tabId="12" name="PivotTable6"/>
    <pivotTable tabId="12" name="PivotTable2"/>
    <pivotTable tabId="8" name="PivotTable2"/>
    <pivotTable tabId="12" name="PivotTable11"/>
  </pivotTables>
  <data>
    <tabular pivotCacheId="1848816149">
      <items count="4">
        <i x="3" s="1"/>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4DEECE4C-808B-441D-B9E3-4664859DBC2A}" sourceName="CITY">
  <pivotTables>
    <pivotTable tabId="12" name="PivotTable1"/>
  </pivotTables>
  <data>
    <tabular pivotCacheId="1848816149">
      <items count="43">
        <i x="24" s="1"/>
        <i x="3" s="1"/>
        <i x="19" s="1"/>
        <i x="31" s="1"/>
        <i x="21" s="1"/>
        <i x="32" s="1"/>
        <i x="40" s="1"/>
        <i x="12" s="1"/>
        <i x="0" s="1"/>
        <i x="35" s="1"/>
        <i x="17" s="1"/>
        <i x="13" s="1"/>
        <i x="27" s="1"/>
        <i x="7" s="1"/>
        <i x="29" s="1"/>
        <i x="39" s="1"/>
        <i x="26" s="1"/>
        <i x="5" s="1"/>
        <i x="1" s="1"/>
        <i x="4" s="1"/>
        <i x="14" s="1"/>
        <i x="22" s="1"/>
        <i x="11" s="1"/>
        <i x="28" s="1"/>
        <i x="36" s="1"/>
        <i x="6" s="1"/>
        <i x="10" s="1"/>
        <i x="15" s="1"/>
        <i x="8" s="1"/>
        <i x="2" s="1"/>
        <i x="25" s="1"/>
        <i x="34" s="1"/>
        <i x="18" s="1"/>
        <i x="37" s="1"/>
        <i x="38" s="1"/>
        <i x="30" s="1"/>
        <i x="42" s="1"/>
        <i x="16" s="1"/>
        <i x="20" s="1"/>
        <i x="9" s="1"/>
        <i x="33" s="1"/>
        <i x="23" s="1"/>
        <i x="4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8BB4EE74-D459-426A-90AC-8DE942728352}" sourceName="CITY">
  <pivotTables>
    <pivotTable tabId="18" name="PivotTable12"/>
    <pivotTable tabId="18" name="PivotTable13"/>
  </pivotTables>
  <data>
    <tabular pivotCacheId="1834182765">
      <items count="43">
        <i x="24"/>
        <i x="3"/>
        <i x="19"/>
        <i x="31"/>
        <i x="21"/>
        <i x="32"/>
        <i x="40"/>
        <i x="12" s="1"/>
        <i x="0"/>
        <i x="35"/>
        <i x="17"/>
        <i x="13"/>
        <i x="27"/>
        <i x="7"/>
        <i x="29"/>
        <i x="39"/>
        <i x="26"/>
        <i x="5"/>
        <i x="1"/>
        <i x="4"/>
        <i x="14"/>
        <i x="22"/>
        <i x="11"/>
        <i x="28"/>
        <i x="36"/>
        <i x="6"/>
        <i x="10"/>
        <i x="15"/>
        <i x="8"/>
        <i x="2"/>
        <i x="25"/>
        <i x="34"/>
        <i x="18"/>
        <i x="37"/>
        <i x="38"/>
        <i x="30"/>
        <i x="42"/>
        <i x="16"/>
        <i x="20"/>
        <i x="9"/>
        <i x="33"/>
        <i x="23"/>
        <i x="4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E84B2CF-13E1-4775-AC1E-E6765C3F1B73}" sourceName="MONTH">
  <pivotTables>
    <pivotTable tabId="19" name="PivotTable1"/>
  </pivotTables>
  <data>
    <tabular pivotCacheId="1848816149">
      <items count="7">
        <i x="3" s="1"/>
        <i x="6" s="1"/>
        <i x="0" s="1"/>
        <i x="1" s="1"/>
        <i x="4" s="1"/>
        <i x="5" s="1"/>
        <i x="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A269AD7A-5602-4B62-8634-91B811DA6AF3}" sourceName="MONTH">
  <pivotTables>
    <pivotTable tabId="20" name="PivotTable2"/>
  </pivotTables>
  <data>
    <tabular pivotCacheId="1848816149">
      <items count="7">
        <i x="3" s="1"/>
        <i x="6" s="1"/>
        <i x="0" s="1"/>
        <i x="1" s="1"/>
        <i x="4"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EC00A213-BE70-44BC-8091-A868B8560F8D}" cache="Slicer_MONTH1"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950086D9-CADC-44C5-BB2B-CEB730AA43AC}" cache="Slicer_CITY" caption="CIT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3" xr10:uid="{9D697833-C77D-4D03-ACD3-DF48E38A6374}" cache="Slicer_MONTH1" caption="MONTH"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4D24B389-208C-4FAB-B2F5-6B61799424F1}" cache="Slicer_GENDER" caption="GENDER" style="SlicerStyleLight6"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40EAB15A-E326-4511-BFBF-9023596D7BC5}" cache="Slicer_SEGMENT" caption="SEGMENT" style="SlicerStyleOther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4478B1B-BE11-4476-A275-D9C5D35F639C}" cache="Slicer_REGION" caption="REGION" style="SlicerStyleDark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CDB16211-DAEB-4955-8180-6DCC1A3B94C3}" cache="Slicer_CITY1" caption="CITY" columnCount="4" style="SlicerStyleLight2"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00F0F6E-076A-454B-B73D-E012AA58AE90}" cache="Slicer_MONTH1" caption="MONTH" style="SlicerStyleLight2"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5304E396-D600-4414-BE54-146C203C27B4}" cache="Slicer_MONTH" caption="MONTH" style="SlicerStyleLight2"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4" xr10:uid="{35370D40-6553-4BFB-BE19-6730EC8AE0A1}" cache="Slicer_MONTH2" caption="MONTH" style="SlicerStyleOth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B1744A-381C-4D52-8224-3D39D72EB205}" name="Table1" displayName="Table1" ref="A1:L101" totalsRowShown="0" headerRowDxfId="87" dataDxfId="85" headerRowBorderDxfId="86" tableBorderDxfId="84">
  <autoFilter ref="A1:L101" xr:uid="{CDF24E8E-68CC-451B-987F-3AE3C5ABA9CA}"/>
  <tableColumns count="12">
    <tableColumn id="1" xr3:uid="{6BC52D43-DD59-4FE6-8559-83C1EA8AC963}" name="DATE" dataDxfId="83"/>
    <tableColumn id="2" xr3:uid="{A9F6EF8E-C466-4CCE-8D71-1DFBEEA39EFD}" name="CUSTOMER ID" dataDxfId="82"/>
    <tableColumn id="3" xr3:uid="{2E1126DE-9DA3-486B-BC33-A7B77E920434}" name="CUSTOMER NAME" dataDxfId="81"/>
    <tableColumn id="4" xr3:uid="{3A0B06ED-E27C-4E04-B4CB-7C689D577B1C}" name="GENDER" dataDxfId="80"/>
    <tableColumn id="5" xr3:uid="{CEFAAF06-F684-4025-BAAC-9D661B9171F2}" name="SEGMENT" dataDxfId="79"/>
    <tableColumn id="6" xr3:uid="{18F19A9E-EDD2-448D-8681-5F9B5C74BEE5}" name="PRODUCT ID" dataDxfId="78"/>
    <tableColumn id="7" xr3:uid="{FF8C5179-D5EB-4CCE-90F4-7C81BAEB1796}" name="PRODUCT NAME" dataDxfId="77"/>
    <tableColumn id="8" xr3:uid="{81E16E27-965F-49A6-80D3-F86DF63BF415}" name="QUANTITY" dataDxfId="76"/>
    <tableColumn id="9" xr3:uid="{A6EFDF18-9197-47E3-8467-E2DA59B857DB}" name="PRICE(INR)" dataDxfId="75"/>
    <tableColumn id="13" xr3:uid="{A4E9617E-9B01-4ED5-AB48-8450D6702DF9}" name="SALES" dataDxfId="74">
      <calculatedColumnFormula>Table1[[#This Row],[QUANTITY]]*Table1[[#This Row],[PRICE(INR)]]</calculatedColumnFormula>
    </tableColumn>
    <tableColumn id="10" xr3:uid="{3F1659E1-6864-40BE-84B4-BA05A5C3DE71}" name="CITY" dataDxfId="73"/>
    <tableColumn id="11" xr3:uid="{49F9E219-B8B2-4F48-B7B6-2F22AFA8CED2}" name="REGION" dataDxfId="72"/>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B77EE5-9A5F-40C5-AE5C-024EF51FE16C}" name="Table2" displayName="Table2" ref="M1:M1048576" totalsRowShown="0">
  <autoFilter ref="M1:M1048576" xr:uid="{287E380E-4F35-4865-AB2A-E454EF3EAEAE}"/>
  <tableColumns count="1">
    <tableColumn id="1" xr3:uid="{10224147-12EB-4C9A-94F2-CB7D3A5F7402}" name="MONTH"/>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ivotTable" Target="../pivotTables/pivotTable13.xml"/><Relationship Id="rId5" Type="http://schemas.microsoft.com/office/2007/relationships/slicer" Target="../slicers/slicer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microsoft.com/office/2007/relationships/slicer" Target="../slicers/slicer8.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1.xml"/><Relationship Id="rId1" Type="http://schemas.openxmlformats.org/officeDocument/2006/relationships/pivotTable" Target="../pivotTables/pivotTable14.xml"/></Relationships>
</file>

<file path=xl/worksheets/_rels/sheet13.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drawing" Target="../drawings/drawing12.xml"/><Relationship Id="rId1" Type="http://schemas.openxmlformats.org/officeDocument/2006/relationships/pivotTable" Target="../pivotTables/pivotTable1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CF429-6780-4457-B1E1-EF9A04DF41E4}">
  <sheetPr codeName="Sheet3"/>
  <dimension ref="A3:BT174"/>
  <sheetViews>
    <sheetView topLeftCell="B21" workbookViewId="0">
      <selection activeCell="E21" sqref="E21"/>
    </sheetView>
  </sheetViews>
  <sheetFormatPr defaultRowHeight="15" x14ac:dyDescent="0.25"/>
  <cols>
    <col min="1" max="1" width="19.7109375" bestFit="1" customWidth="1"/>
    <col min="2" max="2" width="12.7109375" bestFit="1" customWidth="1"/>
    <col min="3" max="3" width="23.28515625" bestFit="1" customWidth="1"/>
    <col min="4" max="4" width="13.140625" bestFit="1" customWidth="1"/>
    <col min="5" max="5" width="18.28515625" bestFit="1" customWidth="1"/>
    <col min="6" max="6" width="16.28515625" bestFit="1" customWidth="1"/>
    <col min="7" max="8" width="7" bestFit="1" customWidth="1"/>
    <col min="9" max="9" width="8" bestFit="1" customWidth="1"/>
    <col min="10" max="11" width="7" bestFit="1" customWidth="1"/>
    <col min="12" max="12" width="5.7109375" bestFit="1" customWidth="1"/>
    <col min="13" max="13" width="11.28515625" bestFit="1" customWidth="1"/>
    <col min="14" max="14" width="6.7109375" bestFit="1" customWidth="1"/>
    <col min="15" max="15" width="7" bestFit="1" customWidth="1"/>
    <col min="16" max="16" width="7.42578125" bestFit="1" customWidth="1"/>
    <col min="17" max="17" width="7" bestFit="1" customWidth="1"/>
    <col min="18" max="18" width="8.28515625" bestFit="1" customWidth="1"/>
    <col min="19" max="19" width="14.5703125" bestFit="1" customWidth="1"/>
    <col min="20" max="20" width="7.5703125" bestFit="1" customWidth="1"/>
    <col min="21" max="21" width="12.28515625" bestFit="1" customWidth="1"/>
    <col min="22" max="22" width="9.28515625" bestFit="1" customWidth="1"/>
    <col min="23" max="23" width="8.42578125" bestFit="1" customWidth="1"/>
    <col min="24" max="24" width="7" bestFit="1" customWidth="1"/>
    <col min="25" max="25" width="6" bestFit="1" customWidth="1"/>
    <col min="26" max="26" width="11.5703125" bestFit="1" customWidth="1"/>
    <col min="27" max="27" width="6.42578125" bestFit="1" customWidth="1"/>
    <col min="28" max="28" width="6.7109375" bestFit="1" customWidth="1"/>
    <col min="29" max="29" width="6.140625" bestFit="1" customWidth="1"/>
    <col min="30" max="30" width="5.85546875" bestFit="1" customWidth="1"/>
    <col min="31" max="31" width="10" bestFit="1" customWidth="1"/>
    <col min="32" max="32" width="5.85546875" bestFit="1" customWidth="1"/>
    <col min="33" max="34" width="5.5703125" bestFit="1" customWidth="1"/>
    <col min="35" max="35" width="11.42578125" bestFit="1" customWidth="1"/>
    <col min="36" max="36" width="18.42578125" bestFit="1" customWidth="1"/>
    <col min="37" max="37" width="17.5703125" bestFit="1" customWidth="1"/>
    <col min="38" max="38" width="6.28515625" bestFit="1" customWidth="1"/>
    <col min="39" max="39" width="7.42578125" bestFit="1" customWidth="1"/>
    <col min="40" max="40" width="8.42578125" bestFit="1" customWidth="1"/>
    <col min="41" max="41" width="8.5703125" bestFit="1" customWidth="1"/>
    <col min="42" max="42" width="15.5703125" bestFit="1" customWidth="1"/>
    <col min="43" max="43" width="15.28515625" bestFit="1" customWidth="1"/>
    <col min="44" max="44" width="5.5703125" bestFit="1" customWidth="1"/>
    <col min="45" max="45" width="7" bestFit="1" customWidth="1"/>
    <col min="46" max="46" width="13.85546875" bestFit="1" customWidth="1"/>
    <col min="47" max="47" width="7.7109375" bestFit="1" customWidth="1"/>
    <col min="48" max="48" width="8.28515625" bestFit="1" customWidth="1"/>
    <col min="49" max="49" width="14.7109375" bestFit="1" customWidth="1"/>
    <col min="50" max="50" width="8.42578125" bestFit="1" customWidth="1"/>
    <col min="51" max="52" width="8.85546875" bestFit="1" customWidth="1"/>
    <col min="53" max="53" width="8" bestFit="1" customWidth="1"/>
    <col min="54" max="54" width="9.85546875" bestFit="1" customWidth="1"/>
    <col min="55" max="55" width="10.5703125" bestFit="1" customWidth="1"/>
    <col min="56" max="56" width="11" bestFit="1" customWidth="1"/>
    <col min="57" max="57" width="12" bestFit="1" customWidth="1"/>
    <col min="59" max="59" width="9.85546875" bestFit="1" customWidth="1"/>
    <col min="60" max="60" width="7" bestFit="1" customWidth="1"/>
    <col min="61" max="61" width="11.7109375" bestFit="1" customWidth="1"/>
    <col min="62" max="62" width="6.7109375" bestFit="1" customWidth="1"/>
    <col min="63" max="63" width="13.28515625" bestFit="1" customWidth="1"/>
    <col min="64" max="64" width="6.7109375" bestFit="1" customWidth="1"/>
    <col min="65" max="65" width="8.85546875" bestFit="1" customWidth="1"/>
    <col min="66" max="66" width="5.7109375" bestFit="1" customWidth="1"/>
    <col min="67" max="67" width="8.140625" bestFit="1" customWidth="1"/>
    <col min="68" max="68" width="9" bestFit="1" customWidth="1"/>
    <col min="69" max="69" width="10.140625" bestFit="1" customWidth="1"/>
    <col min="70" max="70" width="5.28515625" bestFit="1" customWidth="1"/>
    <col min="71" max="71" width="5.85546875" bestFit="1" customWidth="1"/>
    <col min="72" max="72" width="11.28515625" bestFit="1" customWidth="1"/>
  </cols>
  <sheetData>
    <row r="3" spans="1:11" x14ac:dyDescent="0.25">
      <c r="A3" s="2" t="s">
        <v>366</v>
      </c>
      <c r="B3" t="s">
        <v>364</v>
      </c>
      <c r="D3" s="2" t="s">
        <v>366</v>
      </c>
      <c r="E3" t="s">
        <v>364</v>
      </c>
      <c r="G3" s="2" t="s">
        <v>366</v>
      </c>
      <c r="H3" t="s">
        <v>364</v>
      </c>
    </row>
    <row r="4" spans="1:11" x14ac:dyDescent="0.25">
      <c r="A4" s="3" t="s">
        <v>80</v>
      </c>
      <c r="B4" s="45">
        <v>37956.800000000003</v>
      </c>
      <c r="D4" s="3" t="s">
        <v>82</v>
      </c>
      <c r="E4" s="45">
        <v>37197.899999999994</v>
      </c>
      <c r="G4" s="3" t="s">
        <v>239</v>
      </c>
      <c r="H4" s="45">
        <v>9921.0999999999985</v>
      </c>
    </row>
    <row r="5" spans="1:11" x14ac:dyDescent="0.25">
      <c r="A5" s="3" t="s">
        <v>79</v>
      </c>
      <c r="B5" s="45">
        <v>17456.399999999998</v>
      </c>
      <c r="D5" s="3" t="s">
        <v>81</v>
      </c>
      <c r="E5" s="45">
        <v>9746.1999999999989</v>
      </c>
      <c r="G5" s="3" t="s">
        <v>236</v>
      </c>
      <c r="H5" s="45">
        <v>16253</v>
      </c>
      <c r="J5" t="s">
        <v>364</v>
      </c>
    </row>
    <row r="6" spans="1:11" x14ac:dyDescent="0.25">
      <c r="A6" s="3" t="s">
        <v>365</v>
      </c>
      <c r="B6" s="45">
        <v>55413.2</v>
      </c>
      <c r="D6" s="3" t="s">
        <v>83</v>
      </c>
      <c r="E6" s="45">
        <v>8469.1</v>
      </c>
      <c r="G6" s="3" t="s">
        <v>237</v>
      </c>
      <c r="H6" s="45">
        <v>13115.5</v>
      </c>
      <c r="J6" s="45">
        <v>55413.19999999999</v>
      </c>
    </row>
    <row r="7" spans="1:11" x14ac:dyDescent="0.25">
      <c r="D7" s="3" t="s">
        <v>365</v>
      </c>
      <c r="E7" s="45">
        <v>55413.19999999999</v>
      </c>
      <c r="G7" s="3" t="s">
        <v>238</v>
      </c>
      <c r="H7" s="45">
        <v>16123.600000000002</v>
      </c>
    </row>
    <row r="8" spans="1:11" x14ac:dyDescent="0.25">
      <c r="G8" s="3" t="s">
        <v>365</v>
      </c>
      <c r="H8" s="45">
        <v>55413.2</v>
      </c>
    </row>
    <row r="11" spans="1:11" x14ac:dyDescent="0.25">
      <c r="A11" s="2" t="s">
        <v>366</v>
      </c>
      <c r="B11" t="s">
        <v>364</v>
      </c>
      <c r="C11" s="2" t="s">
        <v>366</v>
      </c>
      <c r="D11" t="s">
        <v>364</v>
      </c>
      <c r="G11" s="2" t="s">
        <v>366</v>
      </c>
      <c r="H11" t="s">
        <v>364</v>
      </c>
      <c r="J11" s="2" t="s">
        <v>366</v>
      </c>
      <c r="K11" t="s">
        <v>364</v>
      </c>
    </row>
    <row r="12" spans="1:11" x14ac:dyDescent="0.25">
      <c r="A12" s="3" t="s">
        <v>217</v>
      </c>
      <c r="B12" s="45">
        <v>422.79999999999995</v>
      </c>
      <c r="C12" s="3" t="s">
        <v>189</v>
      </c>
      <c r="D12">
        <v>4200</v>
      </c>
      <c r="G12" s="3" t="s">
        <v>357</v>
      </c>
      <c r="H12">
        <v>2070</v>
      </c>
      <c r="J12" s="3" t="s">
        <v>217</v>
      </c>
      <c r="K12" s="45">
        <v>422.79999999999995</v>
      </c>
    </row>
    <row r="13" spans="1:11" x14ac:dyDescent="0.25">
      <c r="A13" s="3" t="s">
        <v>196</v>
      </c>
      <c r="B13" s="45">
        <v>160</v>
      </c>
      <c r="C13" s="3" t="s">
        <v>188</v>
      </c>
      <c r="D13">
        <v>3000</v>
      </c>
      <c r="G13" s="3" t="s">
        <v>358</v>
      </c>
      <c r="H13">
        <v>1302.5</v>
      </c>
      <c r="J13" s="3" t="s">
        <v>196</v>
      </c>
      <c r="K13" s="45">
        <v>160</v>
      </c>
    </row>
    <row r="14" spans="1:11" x14ac:dyDescent="0.25">
      <c r="A14" s="3" t="s">
        <v>212</v>
      </c>
      <c r="B14" s="45">
        <v>400</v>
      </c>
      <c r="C14" s="3" t="s">
        <v>141</v>
      </c>
      <c r="D14">
        <v>2976</v>
      </c>
      <c r="G14" s="3" t="s">
        <v>360</v>
      </c>
      <c r="H14">
        <v>9768.7000000000007</v>
      </c>
      <c r="J14" s="3" t="s">
        <v>212</v>
      </c>
      <c r="K14" s="45">
        <v>400</v>
      </c>
    </row>
    <row r="15" spans="1:11" x14ac:dyDescent="0.25">
      <c r="A15" s="3" t="s">
        <v>224</v>
      </c>
      <c r="B15" s="45">
        <v>1596</v>
      </c>
      <c r="C15" s="3" t="s">
        <v>180</v>
      </c>
      <c r="D15">
        <v>2505</v>
      </c>
      <c r="G15" s="3" t="s">
        <v>361</v>
      </c>
      <c r="H15">
        <v>11464.3</v>
      </c>
      <c r="J15" s="3" t="s">
        <v>224</v>
      </c>
      <c r="K15" s="45">
        <v>1596</v>
      </c>
    </row>
    <row r="16" spans="1:11" x14ac:dyDescent="0.25">
      <c r="A16" s="3" t="s">
        <v>214</v>
      </c>
      <c r="B16" s="45">
        <v>1236</v>
      </c>
      <c r="C16" s="3" t="s">
        <v>182</v>
      </c>
      <c r="D16">
        <v>2406</v>
      </c>
      <c r="G16" s="3" t="s">
        <v>362</v>
      </c>
      <c r="H16">
        <v>24146</v>
      </c>
      <c r="J16" s="3" t="s">
        <v>214</v>
      </c>
      <c r="K16" s="45">
        <v>1236</v>
      </c>
    </row>
    <row r="17" spans="1:11" x14ac:dyDescent="0.25">
      <c r="A17" s="3" t="s">
        <v>225</v>
      </c>
      <c r="B17" s="45">
        <v>1628</v>
      </c>
      <c r="C17" s="3" t="s">
        <v>130</v>
      </c>
      <c r="D17">
        <v>2091.1999999999998</v>
      </c>
      <c r="G17" s="3" t="s">
        <v>363</v>
      </c>
      <c r="H17">
        <v>3917.7</v>
      </c>
      <c r="J17" s="3" t="s">
        <v>225</v>
      </c>
      <c r="K17" s="45">
        <v>1628</v>
      </c>
    </row>
    <row r="18" spans="1:11" x14ac:dyDescent="0.25">
      <c r="A18" s="3" t="s">
        <v>233</v>
      </c>
      <c r="B18" s="45">
        <v>38.4</v>
      </c>
      <c r="C18" s="3" t="s">
        <v>155</v>
      </c>
      <c r="D18">
        <v>2021.4</v>
      </c>
      <c r="G18" s="3" t="s">
        <v>359</v>
      </c>
      <c r="H18">
        <v>2744</v>
      </c>
      <c r="J18" s="3" t="s">
        <v>233</v>
      </c>
      <c r="K18" s="45">
        <v>38.4</v>
      </c>
    </row>
    <row r="19" spans="1:11" x14ac:dyDescent="0.25">
      <c r="A19" s="3" t="s">
        <v>205</v>
      </c>
      <c r="B19" s="45">
        <v>240</v>
      </c>
      <c r="C19" s="3" t="s">
        <v>150</v>
      </c>
      <c r="D19">
        <v>1802</v>
      </c>
      <c r="G19" s="3" t="s">
        <v>365</v>
      </c>
      <c r="H19">
        <v>55413.2</v>
      </c>
      <c r="J19" s="3" t="s">
        <v>205</v>
      </c>
      <c r="K19" s="45">
        <v>240</v>
      </c>
    </row>
    <row r="20" spans="1:11" x14ac:dyDescent="0.25">
      <c r="A20" s="3" t="s">
        <v>193</v>
      </c>
      <c r="B20" s="45">
        <v>2459.4</v>
      </c>
      <c r="C20" s="3" t="s">
        <v>157</v>
      </c>
      <c r="D20">
        <v>1755.6000000000001</v>
      </c>
      <c r="J20" s="3" t="s">
        <v>193</v>
      </c>
      <c r="K20" s="45">
        <v>2459.4</v>
      </c>
    </row>
    <row r="21" spans="1:11" x14ac:dyDescent="0.25">
      <c r="A21" s="3" t="s">
        <v>228</v>
      </c>
      <c r="B21" s="45">
        <v>4200</v>
      </c>
      <c r="C21" s="3" t="s">
        <v>139</v>
      </c>
      <c r="D21">
        <v>1736</v>
      </c>
      <c r="J21" s="3" t="s">
        <v>228</v>
      </c>
      <c r="K21" s="45">
        <v>4200</v>
      </c>
    </row>
    <row r="22" spans="1:11" x14ac:dyDescent="0.25">
      <c r="A22" s="3" t="s">
        <v>210</v>
      </c>
      <c r="B22" s="45">
        <v>1400</v>
      </c>
      <c r="C22" s="3" t="s">
        <v>131</v>
      </c>
      <c r="D22">
        <v>1650</v>
      </c>
      <c r="G22" s="2" t="s">
        <v>366</v>
      </c>
      <c r="H22" t="s">
        <v>364</v>
      </c>
      <c r="J22" s="3" t="s">
        <v>210</v>
      </c>
      <c r="K22" s="45">
        <v>1400</v>
      </c>
    </row>
    <row r="23" spans="1:11" x14ac:dyDescent="0.25">
      <c r="A23" s="3" t="s">
        <v>206</v>
      </c>
      <c r="B23" s="45">
        <v>425.7</v>
      </c>
      <c r="C23" s="3" t="s">
        <v>186</v>
      </c>
      <c r="D23">
        <v>1628</v>
      </c>
      <c r="G23" s="3" t="s">
        <v>61</v>
      </c>
      <c r="H23">
        <v>4200</v>
      </c>
      <c r="J23" s="3" t="s">
        <v>206</v>
      </c>
      <c r="K23" s="45">
        <v>425.7</v>
      </c>
    </row>
    <row r="24" spans="1:11" x14ac:dyDescent="0.25">
      <c r="A24" s="3" t="s">
        <v>220</v>
      </c>
      <c r="B24" s="45">
        <v>142.80000000000001</v>
      </c>
      <c r="C24" s="3" t="s">
        <v>181</v>
      </c>
      <c r="D24">
        <v>1608</v>
      </c>
      <c r="G24" s="3" t="s">
        <v>14</v>
      </c>
      <c r="H24">
        <v>4200</v>
      </c>
      <c r="J24" s="3" t="s">
        <v>220</v>
      </c>
      <c r="K24" s="45">
        <v>142.80000000000001</v>
      </c>
    </row>
    <row r="25" spans="1:11" x14ac:dyDescent="0.25">
      <c r="A25" s="3" t="s">
        <v>200</v>
      </c>
      <c r="B25" s="45">
        <v>1503</v>
      </c>
      <c r="C25" s="3" t="s">
        <v>187</v>
      </c>
      <c r="D25">
        <v>1600</v>
      </c>
      <c r="G25" s="3" t="s">
        <v>11</v>
      </c>
      <c r="H25">
        <v>3479.8</v>
      </c>
      <c r="J25" s="3" t="s">
        <v>200</v>
      </c>
      <c r="K25" s="45">
        <v>1503</v>
      </c>
    </row>
    <row r="26" spans="1:11" x14ac:dyDescent="0.25">
      <c r="A26" s="3" t="s">
        <v>222</v>
      </c>
      <c r="B26" s="45">
        <v>1608</v>
      </c>
      <c r="C26" s="3" t="s">
        <v>152</v>
      </c>
      <c r="D26">
        <v>1596</v>
      </c>
      <c r="G26" s="3" t="s">
        <v>60</v>
      </c>
      <c r="H26">
        <v>3000</v>
      </c>
      <c r="J26" s="3" t="s">
        <v>222</v>
      </c>
      <c r="K26" s="45">
        <v>1608</v>
      </c>
    </row>
    <row r="27" spans="1:11" x14ac:dyDescent="0.25">
      <c r="A27" s="3" t="s">
        <v>232</v>
      </c>
      <c r="B27" s="45">
        <v>1898.1000000000001</v>
      </c>
      <c r="C27" s="3" t="s">
        <v>178</v>
      </c>
      <c r="D27">
        <v>1559.3999999999999</v>
      </c>
      <c r="G27" s="3" t="s">
        <v>50</v>
      </c>
      <c r="H27">
        <v>2505</v>
      </c>
      <c r="J27" s="3" t="s">
        <v>232</v>
      </c>
      <c r="K27" s="45">
        <v>1898.1000000000001</v>
      </c>
    </row>
    <row r="28" spans="1:11" x14ac:dyDescent="0.25">
      <c r="A28" s="3" t="s">
        <v>219</v>
      </c>
      <c r="B28" s="45">
        <v>234</v>
      </c>
      <c r="C28" s="3" t="s">
        <v>169</v>
      </c>
      <c r="D28">
        <v>1294.4000000000001</v>
      </c>
      <c r="G28" s="3" t="s">
        <v>28</v>
      </c>
      <c r="H28">
        <v>2493</v>
      </c>
      <c r="J28" s="3" t="s">
        <v>219</v>
      </c>
      <c r="K28" s="45">
        <v>234</v>
      </c>
    </row>
    <row r="29" spans="1:11" x14ac:dyDescent="0.25">
      <c r="A29" s="3" t="s">
        <v>198</v>
      </c>
      <c r="B29" s="45">
        <v>756.90000000000009</v>
      </c>
      <c r="C29" s="3" t="s">
        <v>183</v>
      </c>
      <c r="D29">
        <v>1283.2</v>
      </c>
      <c r="G29" s="3" t="s">
        <v>54</v>
      </c>
      <c r="H29">
        <v>2406</v>
      </c>
      <c r="J29" s="3" t="s">
        <v>198</v>
      </c>
      <c r="K29" s="45">
        <v>756.90000000000009</v>
      </c>
    </row>
    <row r="30" spans="1:11" x14ac:dyDescent="0.25">
      <c r="A30" s="3" t="s">
        <v>194</v>
      </c>
      <c r="B30" s="45">
        <v>2084.6</v>
      </c>
      <c r="C30" s="3" t="s">
        <v>144</v>
      </c>
      <c r="D30">
        <v>1260</v>
      </c>
      <c r="G30" s="3" t="s">
        <v>19</v>
      </c>
      <c r="H30">
        <v>2322</v>
      </c>
      <c r="J30" s="3" t="s">
        <v>194</v>
      </c>
      <c r="K30" s="45">
        <v>2084.6</v>
      </c>
    </row>
    <row r="31" spans="1:11" x14ac:dyDescent="0.25">
      <c r="A31" s="3" t="s">
        <v>197</v>
      </c>
      <c r="B31" s="45">
        <v>240</v>
      </c>
      <c r="C31" s="3" t="s">
        <v>151</v>
      </c>
      <c r="D31">
        <v>1236</v>
      </c>
      <c r="G31" s="3" t="s">
        <v>36</v>
      </c>
      <c r="H31">
        <v>2030.8</v>
      </c>
      <c r="J31" s="3" t="s">
        <v>197</v>
      </c>
      <c r="K31" s="45">
        <v>240</v>
      </c>
    </row>
    <row r="32" spans="1:11" x14ac:dyDescent="0.25">
      <c r="A32" s="3" t="s">
        <v>207</v>
      </c>
      <c r="B32" s="45">
        <v>2356</v>
      </c>
      <c r="C32" s="3" t="s">
        <v>185</v>
      </c>
      <c r="D32">
        <v>1233</v>
      </c>
      <c r="G32" s="3" t="s">
        <v>55</v>
      </c>
      <c r="H32">
        <v>1628</v>
      </c>
      <c r="J32" s="3" t="s">
        <v>207</v>
      </c>
      <c r="K32" s="45">
        <v>2356</v>
      </c>
    </row>
    <row r="33" spans="1:11" x14ac:dyDescent="0.25">
      <c r="A33" s="3" t="s">
        <v>215</v>
      </c>
      <c r="B33" s="45">
        <v>470.7</v>
      </c>
      <c r="C33" s="3" t="s">
        <v>153</v>
      </c>
      <c r="D33">
        <v>1016</v>
      </c>
      <c r="G33" s="3" t="s">
        <v>16</v>
      </c>
      <c r="H33">
        <v>1627.2</v>
      </c>
      <c r="J33" s="3" t="s">
        <v>215</v>
      </c>
      <c r="K33" s="45">
        <v>470.7</v>
      </c>
    </row>
    <row r="34" spans="1:11" x14ac:dyDescent="0.25">
      <c r="A34" s="3" t="s">
        <v>204</v>
      </c>
      <c r="B34" s="45">
        <v>1720</v>
      </c>
      <c r="C34" s="3" t="s">
        <v>167</v>
      </c>
      <c r="D34">
        <v>971.2</v>
      </c>
      <c r="G34" s="3" t="s">
        <v>58</v>
      </c>
      <c r="H34">
        <v>1600</v>
      </c>
      <c r="J34" s="3" t="s">
        <v>204</v>
      </c>
      <c r="K34" s="45">
        <v>1720</v>
      </c>
    </row>
    <row r="35" spans="1:11" x14ac:dyDescent="0.25">
      <c r="A35" s="3" t="s">
        <v>221</v>
      </c>
      <c r="B35" s="45">
        <v>2452.6</v>
      </c>
      <c r="C35" s="3" t="s">
        <v>140</v>
      </c>
      <c r="D35">
        <v>922.5</v>
      </c>
      <c r="G35" s="3" t="s">
        <v>52</v>
      </c>
      <c r="H35">
        <v>1596</v>
      </c>
      <c r="J35" s="3" t="s">
        <v>221</v>
      </c>
      <c r="K35" s="45">
        <v>2452.6</v>
      </c>
    </row>
    <row r="36" spans="1:11" x14ac:dyDescent="0.25">
      <c r="A36" s="3" t="s">
        <v>229</v>
      </c>
      <c r="B36" s="45">
        <v>400</v>
      </c>
      <c r="C36" s="3" t="s">
        <v>137</v>
      </c>
      <c r="D36">
        <v>900</v>
      </c>
      <c r="G36" s="3" t="s">
        <v>47</v>
      </c>
      <c r="H36">
        <v>1559.3999999999999</v>
      </c>
      <c r="J36" s="3" t="s">
        <v>229</v>
      </c>
      <c r="K36" s="45">
        <v>400</v>
      </c>
    </row>
    <row r="37" spans="1:11" x14ac:dyDescent="0.25">
      <c r="A37" s="3" t="s">
        <v>199</v>
      </c>
      <c r="B37" s="45">
        <v>1313</v>
      </c>
      <c r="C37" s="3" t="s">
        <v>156</v>
      </c>
      <c r="D37">
        <v>867.59999999999991</v>
      </c>
      <c r="G37" s="3" t="s">
        <v>17</v>
      </c>
      <c r="H37">
        <v>1438.2</v>
      </c>
      <c r="J37" s="3" t="s">
        <v>199</v>
      </c>
      <c r="K37" s="45">
        <v>1313</v>
      </c>
    </row>
    <row r="38" spans="1:11" x14ac:dyDescent="0.25">
      <c r="A38" s="3" t="s">
        <v>203</v>
      </c>
      <c r="B38" s="45">
        <v>80</v>
      </c>
      <c r="C38" s="3" t="s">
        <v>142</v>
      </c>
      <c r="D38">
        <v>850</v>
      </c>
      <c r="G38" s="3" t="s">
        <v>34</v>
      </c>
      <c r="H38">
        <v>1416</v>
      </c>
      <c r="J38" s="3" t="s">
        <v>203</v>
      </c>
      <c r="K38" s="45">
        <v>80</v>
      </c>
    </row>
    <row r="39" spans="1:11" x14ac:dyDescent="0.25">
      <c r="A39" s="3" t="s">
        <v>208</v>
      </c>
      <c r="B39" s="45">
        <v>7815</v>
      </c>
      <c r="C39" s="3" t="s">
        <v>184</v>
      </c>
      <c r="D39">
        <v>803.2</v>
      </c>
      <c r="G39" s="3" t="s">
        <v>37</v>
      </c>
      <c r="H39">
        <v>1294.4000000000001</v>
      </c>
      <c r="J39" s="3" t="s">
        <v>208</v>
      </c>
      <c r="K39" s="45">
        <v>7815</v>
      </c>
    </row>
    <row r="40" spans="1:11" x14ac:dyDescent="0.25">
      <c r="A40" s="3" t="s">
        <v>201</v>
      </c>
      <c r="B40" s="45">
        <v>1020</v>
      </c>
      <c r="C40" s="3" t="s">
        <v>133</v>
      </c>
      <c r="D40">
        <v>672</v>
      </c>
      <c r="G40" s="3" t="s">
        <v>32</v>
      </c>
      <c r="H40">
        <v>1236</v>
      </c>
      <c r="J40" s="3" t="s">
        <v>201</v>
      </c>
      <c r="K40" s="45">
        <v>1020</v>
      </c>
    </row>
    <row r="41" spans="1:11" x14ac:dyDescent="0.25">
      <c r="A41" s="3" t="s">
        <v>195</v>
      </c>
      <c r="B41" s="45">
        <v>4808.3999999999996</v>
      </c>
      <c r="C41" s="3" t="s">
        <v>143</v>
      </c>
      <c r="D41">
        <v>640</v>
      </c>
      <c r="G41" s="3" t="s">
        <v>18</v>
      </c>
      <c r="H41">
        <v>1140</v>
      </c>
      <c r="J41" s="3" t="s">
        <v>195</v>
      </c>
      <c r="K41" s="45">
        <v>4808.3999999999996</v>
      </c>
    </row>
    <row r="42" spans="1:11" x14ac:dyDescent="0.25">
      <c r="A42" s="3" t="s">
        <v>218</v>
      </c>
      <c r="B42" s="45">
        <v>216</v>
      </c>
      <c r="C42" s="3" t="s">
        <v>138</v>
      </c>
      <c r="D42">
        <v>520</v>
      </c>
      <c r="G42" s="3" t="s">
        <v>53</v>
      </c>
      <c r="H42">
        <v>1016</v>
      </c>
      <c r="J42" s="3" t="s">
        <v>218</v>
      </c>
      <c r="K42" s="45">
        <v>216</v>
      </c>
    </row>
    <row r="43" spans="1:11" x14ac:dyDescent="0.25">
      <c r="A43" s="3" t="s">
        <v>227</v>
      </c>
      <c r="B43" s="45">
        <v>3000</v>
      </c>
      <c r="C43" s="3" t="s">
        <v>179</v>
      </c>
      <c r="D43">
        <v>464</v>
      </c>
      <c r="G43" s="3" t="s">
        <v>13</v>
      </c>
      <c r="H43">
        <v>990.90000000000009</v>
      </c>
      <c r="J43" s="3" t="s">
        <v>227</v>
      </c>
      <c r="K43" s="45">
        <v>3000</v>
      </c>
    </row>
    <row r="44" spans="1:11" x14ac:dyDescent="0.25">
      <c r="A44" s="3" t="s">
        <v>211</v>
      </c>
      <c r="B44" s="45">
        <v>704</v>
      </c>
      <c r="C44" s="3" t="s">
        <v>154</v>
      </c>
      <c r="D44">
        <v>438.90000000000003</v>
      </c>
      <c r="G44" s="3" t="s">
        <v>35</v>
      </c>
      <c r="H44">
        <v>971.2</v>
      </c>
      <c r="J44" s="3" t="s">
        <v>211</v>
      </c>
      <c r="K44" s="45">
        <v>704</v>
      </c>
    </row>
    <row r="45" spans="1:11" x14ac:dyDescent="0.25">
      <c r="A45" s="3" t="s">
        <v>230</v>
      </c>
      <c r="B45" s="45">
        <v>200</v>
      </c>
      <c r="C45" s="3" t="s">
        <v>168</v>
      </c>
      <c r="D45">
        <v>422.79999999999995</v>
      </c>
      <c r="G45" s="3" t="s">
        <v>26</v>
      </c>
      <c r="H45">
        <v>640</v>
      </c>
      <c r="J45" s="3" t="s">
        <v>230</v>
      </c>
      <c r="K45" s="45">
        <v>200</v>
      </c>
    </row>
    <row r="46" spans="1:11" x14ac:dyDescent="0.25">
      <c r="A46" s="3" t="s">
        <v>231</v>
      </c>
      <c r="B46" s="45">
        <v>93.6</v>
      </c>
      <c r="C46" s="3" t="s">
        <v>160</v>
      </c>
      <c r="D46">
        <v>406</v>
      </c>
      <c r="G46" s="3" t="s">
        <v>43</v>
      </c>
      <c r="H46">
        <v>616</v>
      </c>
      <c r="J46" s="3" t="s">
        <v>231</v>
      </c>
      <c r="K46" s="45">
        <v>93.6</v>
      </c>
    </row>
    <row r="47" spans="1:11" x14ac:dyDescent="0.25">
      <c r="A47" s="3" t="s">
        <v>223</v>
      </c>
      <c r="B47" s="45">
        <v>603</v>
      </c>
      <c r="C47" s="3" t="s">
        <v>190</v>
      </c>
      <c r="D47">
        <v>400</v>
      </c>
      <c r="G47" s="3" t="s">
        <v>51</v>
      </c>
      <c r="H47">
        <v>603</v>
      </c>
      <c r="J47" s="3" t="s">
        <v>223</v>
      </c>
      <c r="K47" s="45">
        <v>603</v>
      </c>
    </row>
    <row r="48" spans="1:11" x14ac:dyDescent="0.25">
      <c r="A48" s="3" t="s">
        <v>235</v>
      </c>
      <c r="B48" s="45">
        <v>48</v>
      </c>
      <c r="C48" s="3" t="s">
        <v>162</v>
      </c>
      <c r="D48">
        <v>384</v>
      </c>
      <c r="G48" s="3" t="s">
        <v>56</v>
      </c>
      <c r="H48">
        <v>603</v>
      </c>
      <c r="J48" s="3" t="s">
        <v>235</v>
      </c>
      <c r="K48" s="45">
        <v>48</v>
      </c>
    </row>
    <row r="49" spans="1:11" x14ac:dyDescent="0.25">
      <c r="A49" s="3" t="s">
        <v>209</v>
      </c>
      <c r="B49" s="45">
        <v>256</v>
      </c>
      <c r="C49" s="3" t="s">
        <v>164</v>
      </c>
      <c r="D49">
        <v>364.5</v>
      </c>
      <c r="G49" s="3" t="s">
        <v>49</v>
      </c>
      <c r="H49">
        <v>603</v>
      </c>
      <c r="J49" s="3" t="s">
        <v>209</v>
      </c>
      <c r="K49" s="45">
        <v>256</v>
      </c>
    </row>
    <row r="50" spans="1:11" x14ac:dyDescent="0.25">
      <c r="A50" s="3" t="s">
        <v>213</v>
      </c>
      <c r="B50" s="45">
        <v>1802</v>
      </c>
      <c r="C50" s="3" t="s">
        <v>149</v>
      </c>
      <c r="D50">
        <v>350</v>
      </c>
      <c r="G50" s="3" t="s">
        <v>27</v>
      </c>
      <c r="H50">
        <v>520</v>
      </c>
      <c r="J50" s="3" t="s">
        <v>213</v>
      </c>
      <c r="K50" s="45">
        <v>1802</v>
      </c>
    </row>
    <row r="51" spans="1:11" x14ac:dyDescent="0.25">
      <c r="A51" s="3" t="s">
        <v>202</v>
      </c>
      <c r="B51" s="45">
        <v>240</v>
      </c>
      <c r="C51" s="3" t="s">
        <v>147</v>
      </c>
      <c r="D51">
        <v>320</v>
      </c>
      <c r="G51" s="3" t="s">
        <v>57</v>
      </c>
      <c r="H51">
        <v>500</v>
      </c>
      <c r="J51" s="3" t="s">
        <v>202</v>
      </c>
      <c r="K51" s="45">
        <v>240</v>
      </c>
    </row>
    <row r="52" spans="1:11" x14ac:dyDescent="0.25">
      <c r="A52" s="3" t="s">
        <v>226</v>
      </c>
      <c r="B52" s="45">
        <v>140</v>
      </c>
      <c r="C52" s="3" t="s">
        <v>191</v>
      </c>
      <c r="D52">
        <v>300</v>
      </c>
      <c r="G52" s="3" t="s">
        <v>48</v>
      </c>
      <c r="H52">
        <v>464</v>
      </c>
      <c r="J52" s="3" t="s">
        <v>226</v>
      </c>
      <c r="K52" s="45">
        <v>140</v>
      </c>
    </row>
    <row r="53" spans="1:11" x14ac:dyDescent="0.25">
      <c r="A53" s="3" t="s">
        <v>216</v>
      </c>
      <c r="B53" s="45">
        <v>2595.1999999999998</v>
      </c>
      <c r="C53" s="3" t="s">
        <v>161</v>
      </c>
      <c r="D53">
        <v>249.6</v>
      </c>
      <c r="G53" s="3" t="s">
        <v>15</v>
      </c>
      <c r="H53">
        <v>462.8</v>
      </c>
      <c r="J53" s="3" t="s">
        <v>216</v>
      </c>
      <c r="K53" s="45">
        <v>2595.1999999999998</v>
      </c>
    </row>
    <row r="54" spans="1:11" x14ac:dyDescent="0.25">
      <c r="A54" s="3" t="s">
        <v>234</v>
      </c>
      <c r="B54" s="45">
        <v>406</v>
      </c>
      <c r="C54" s="3" t="s">
        <v>148</v>
      </c>
      <c r="D54">
        <v>240</v>
      </c>
      <c r="G54" s="3" t="s">
        <v>33</v>
      </c>
      <c r="H54">
        <v>438.90000000000003</v>
      </c>
      <c r="J54" s="3" t="s">
        <v>234</v>
      </c>
      <c r="K54" s="45">
        <v>406</v>
      </c>
    </row>
    <row r="55" spans="1:11" x14ac:dyDescent="0.25">
      <c r="A55" s="3" t="s">
        <v>365</v>
      </c>
      <c r="B55" s="45">
        <v>55413.2</v>
      </c>
      <c r="C55" s="3" t="s">
        <v>176</v>
      </c>
      <c r="D55">
        <v>234</v>
      </c>
      <c r="G55" s="3" t="s">
        <v>65</v>
      </c>
      <c r="H55">
        <v>400</v>
      </c>
      <c r="J55" s="3" t="s">
        <v>365</v>
      </c>
      <c r="K55" s="45">
        <v>55413.2</v>
      </c>
    </row>
    <row r="56" spans="1:11" x14ac:dyDescent="0.25">
      <c r="C56" s="3" t="s">
        <v>166</v>
      </c>
      <c r="D56">
        <v>220</v>
      </c>
      <c r="G56" s="3" t="s">
        <v>63</v>
      </c>
      <c r="H56">
        <v>400</v>
      </c>
    </row>
    <row r="57" spans="1:11" x14ac:dyDescent="0.25">
      <c r="C57" s="3" t="s">
        <v>172</v>
      </c>
      <c r="D57">
        <v>216</v>
      </c>
      <c r="G57" s="3" t="s">
        <v>25</v>
      </c>
      <c r="H57">
        <v>388.5</v>
      </c>
    </row>
    <row r="58" spans="1:11" x14ac:dyDescent="0.25">
      <c r="C58" s="3" t="s">
        <v>174</v>
      </c>
      <c r="D58">
        <v>210</v>
      </c>
      <c r="G58" s="3" t="s">
        <v>30</v>
      </c>
      <c r="H58">
        <v>350</v>
      </c>
    </row>
    <row r="59" spans="1:11" x14ac:dyDescent="0.25">
      <c r="C59" s="3" t="s">
        <v>192</v>
      </c>
      <c r="D59">
        <v>200</v>
      </c>
      <c r="G59" s="3" t="s">
        <v>62</v>
      </c>
      <c r="H59">
        <v>300</v>
      </c>
    </row>
    <row r="60" spans="1:11" x14ac:dyDescent="0.25">
      <c r="C60" s="3" t="s">
        <v>171</v>
      </c>
      <c r="D60">
        <v>195</v>
      </c>
      <c r="G60" s="3" t="s">
        <v>71</v>
      </c>
      <c r="H60">
        <v>294</v>
      </c>
    </row>
    <row r="61" spans="1:11" x14ac:dyDescent="0.25">
      <c r="C61" s="3" t="s">
        <v>170</v>
      </c>
      <c r="D61">
        <v>150</v>
      </c>
      <c r="G61" s="3" t="s">
        <v>12</v>
      </c>
      <c r="H61">
        <v>259.39999999999998</v>
      </c>
    </row>
    <row r="62" spans="1:11" x14ac:dyDescent="0.25">
      <c r="C62" s="3" t="s">
        <v>145</v>
      </c>
      <c r="D62">
        <v>144</v>
      </c>
      <c r="G62" s="3" t="s">
        <v>41</v>
      </c>
      <c r="H62">
        <v>256.8</v>
      </c>
    </row>
    <row r="63" spans="1:11" x14ac:dyDescent="0.25">
      <c r="C63" s="3" t="s">
        <v>177</v>
      </c>
      <c r="D63">
        <v>142.80000000000001</v>
      </c>
      <c r="G63" s="3" t="s">
        <v>22</v>
      </c>
      <c r="H63">
        <v>240</v>
      </c>
    </row>
    <row r="64" spans="1:11" x14ac:dyDescent="0.25">
      <c r="C64" s="3" t="s">
        <v>163</v>
      </c>
      <c r="D64">
        <v>142.5</v>
      </c>
      <c r="G64" s="3" t="s">
        <v>45</v>
      </c>
      <c r="H64">
        <v>234</v>
      </c>
    </row>
    <row r="65" spans="3:8" x14ac:dyDescent="0.25">
      <c r="C65" s="3" t="s">
        <v>134</v>
      </c>
      <c r="D65">
        <v>120</v>
      </c>
      <c r="G65" s="3" t="s">
        <v>46</v>
      </c>
      <c r="H65">
        <v>221.39999999999998</v>
      </c>
    </row>
    <row r="66" spans="3:8" x14ac:dyDescent="0.25">
      <c r="C66" s="3" t="s">
        <v>132</v>
      </c>
      <c r="D66">
        <v>120</v>
      </c>
      <c r="G66" s="3" t="s">
        <v>40</v>
      </c>
      <c r="H66">
        <v>217.5</v>
      </c>
    </row>
    <row r="67" spans="3:8" x14ac:dyDescent="0.25">
      <c r="C67" s="3" t="s">
        <v>136</v>
      </c>
      <c r="D67">
        <v>80</v>
      </c>
      <c r="G67" s="3" t="s">
        <v>73</v>
      </c>
      <c r="H67">
        <v>210</v>
      </c>
    </row>
    <row r="68" spans="3:8" x14ac:dyDescent="0.25">
      <c r="C68" s="3" t="s">
        <v>146</v>
      </c>
      <c r="D68">
        <v>60</v>
      </c>
      <c r="G68" s="3" t="s">
        <v>64</v>
      </c>
      <c r="H68">
        <v>195</v>
      </c>
    </row>
    <row r="69" spans="3:8" x14ac:dyDescent="0.25">
      <c r="C69" s="3" t="s">
        <v>165</v>
      </c>
      <c r="D69">
        <v>59.4</v>
      </c>
      <c r="G69" s="3" t="s">
        <v>74</v>
      </c>
      <c r="H69">
        <v>156</v>
      </c>
    </row>
    <row r="70" spans="3:8" x14ac:dyDescent="0.25">
      <c r="C70" s="3" t="s">
        <v>173</v>
      </c>
      <c r="D70">
        <v>50</v>
      </c>
      <c r="G70" s="3" t="s">
        <v>39</v>
      </c>
      <c r="H70">
        <v>150</v>
      </c>
    </row>
    <row r="71" spans="3:8" x14ac:dyDescent="0.25">
      <c r="C71" s="3" t="s">
        <v>159</v>
      </c>
      <c r="D71">
        <v>48</v>
      </c>
      <c r="G71" s="3" t="s">
        <v>69</v>
      </c>
      <c r="H71">
        <v>142.5</v>
      </c>
    </row>
    <row r="72" spans="3:8" x14ac:dyDescent="0.25">
      <c r="C72" s="3" t="s">
        <v>175</v>
      </c>
      <c r="D72">
        <v>30</v>
      </c>
      <c r="G72" s="3" t="s">
        <v>72</v>
      </c>
      <c r="H72">
        <v>140</v>
      </c>
    </row>
    <row r="73" spans="3:8" x14ac:dyDescent="0.25">
      <c r="C73" s="3" t="s">
        <v>135</v>
      </c>
      <c r="D73">
        <v>24</v>
      </c>
      <c r="G73" s="3" t="s">
        <v>59</v>
      </c>
      <c r="H73">
        <v>140</v>
      </c>
    </row>
    <row r="74" spans="3:8" x14ac:dyDescent="0.25">
      <c r="C74" s="3" t="s">
        <v>158</v>
      </c>
      <c r="D74">
        <v>24</v>
      </c>
      <c r="G74" s="3" t="s">
        <v>21</v>
      </c>
      <c r="H74">
        <v>120</v>
      </c>
    </row>
    <row r="75" spans="3:8" x14ac:dyDescent="0.25">
      <c r="C75" s="3" t="s">
        <v>365</v>
      </c>
      <c r="D75">
        <v>55413.19999999999</v>
      </c>
      <c r="G75" s="3" t="s">
        <v>29</v>
      </c>
      <c r="H75">
        <v>120</v>
      </c>
    </row>
    <row r="76" spans="3:8" x14ac:dyDescent="0.25">
      <c r="G76" s="3" t="s">
        <v>38</v>
      </c>
      <c r="H76">
        <v>120</v>
      </c>
    </row>
    <row r="77" spans="3:8" x14ac:dyDescent="0.25">
      <c r="G77" s="3" t="s">
        <v>67</v>
      </c>
      <c r="H77">
        <v>114</v>
      </c>
    </row>
    <row r="78" spans="3:8" x14ac:dyDescent="0.25">
      <c r="D78">
        <f>MAX(D12:D74)</f>
        <v>4200</v>
      </c>
      <c r="G78" s="3" t="s">
        <v>66</v>
      </c>
      <c r="H78">
        <v>112</v>
      </c>
    </row>
    <row r="79" spans="3:8" x14ac:dyDescent="0.25">
      <c r="G79" s="3" t="s">
        <v>68</v>
      </c>
      <c r="H79">
        <v>93.6</v>
      </c>
    </row>
    <row r="80" spans="3:8" x14ac:dyDescent="0.25">
      <c r="G80" s="3" t="s">
        <v>24</v>
      </c>
      <c r="H80">
        <v>80</v>
      </c>
    </row>
    <row r="81" spans="7:8" x14ac:dyDescent="0.25">
      <c r="G81" s="3" t="s">
        <v>20</v>
      </c>
      <c r="H81">
        <v>80</v>
      </c>
    </row>
    <row r="82" spans="7:8" x14ac:dyDescent="0.25">
      <c r="G82" s="3" t="s">
        <v>23</v>
      </c>
      <c r="H82">
        <v>50</v>
      </c>
    </row>
    <row r="83" spans="7:8" x14ac:dyDescent="0.25">
      <c r="G83" s="3" t="s">
        <v>42</v>
      </c>
      <c r="H83">
        <v>50</v>
      </c>
    </row>
    <row r="84" spans="7:8" x14ac:dyDescent="0.25">
      <c r="G84" s="3" t="s">
        <v>75</v>
      </c>
      <c r="H84">
        <v>48</v>
      </c>
    </row>
    <row r="85" spans="7:8" x14ac:dyDescent="0.25">
      <c r="G85" s="3" t="s">
        <v>70</v>
      </c>
      <c r="H85">
        <v>38.4</v>
      </c>
    </row>
    <row r="86" spans="7:8" x14ac:dyDescent="0.25">
      <c r="G86" s="3" t="s">
        <v>31</v>
      </c>
      <c r="H86">
        <v>37.5</v>
      </c>
    </row>
    <row r="87" spans="7:8" x14ac:dyDescent="0.25">
      <c r="G87" s="3" t="s">
        <v>44</v>
      </c>
      <c r="H87">
        <v>30</v>
      </c>
    </row>
    <row r="88" spans="7:8" x14ac:dyDescent="0.25">
      <c r="G88" s="3" t="s">
        <v>76</v>
      </c>
      <c r="H88">
        <v>24</v>
      </c>
    </row>
    <row r="89" spans="7:8" x14ac:dyDescent="0.25">
      <c r="G89" s="3" t="s">
        <v>365</v>
      </c>
      <c r="H89">
        <v>55413.200000000004</v>
      </c>
    </row>
    <row r="91" spans="7:8" x14ac:dyDescent="0.25">
      <c r="H91">
        <f>MAX(H23:H88)</f>
        <v>4200</v>
      </c>
    </row>
    <row r="104" spans="5:13" x14ac:dyDescent="0.25">
      <c r="E104" s="2" t="s">
        <v>364</v>
      </c>
      <c r="F104" s="2" t="s">
        <v>371</v>
      </c>
    </row>
    <row r="105" spans="5:13" x14ac:dyDescent="0.25">
      <c r="E105" s="2" t="s">
        <v>366</v>
      </c>
      <c r="F105" t="s">
        <v>357</v>
      </c>
      <c r="G105" t="s">
        <v>358</v>
      </c>
      <c r="H105" t="s">
        <v>360</v>
      </c>
      <c r="I105" t="s">
        <v>361</v>
      </c>
      <c r="J105" t="s">
        <v>362</v>
      </c>
      <c r="K105" t="s">
        <v>363</v>
      </c>
      <c r="L105" t="s">
        <v>359</v>
      </c>
      <c r="M105" t="s">
        <v>365</v>
      </c>
    </row>
    <row r="106" spans="5:13" x14ac:dyDescent="0.25">
      <c r="E106" s="3" t="s">
        <v>24</v>
      </c>
      <c r="F106" s="45"/>
      <c r="G106" s="45">
        <v>80</v>
      </c>
      <c r="H106" s="45"/>
      <c r="I106" s="45"/>
      <c r="J106" s="45"/>
      <c r="K106" s="45"/>
      <c r="L106" s="45"/>
      <c r="M106" s="45">
        <v>80</v>
      </c>
    </row>
    <row r="107" spans="5:13" x14ac:dyDescent="0.25">
      <c r="E107" s="3" t="s">
        <v>68</v>
      </c>
      <c r="F107" s="45"/>
      <c r="G107" s="45"/>
      <c r="H107" s="45"/>
      <c r="I107" s="45"/>
      <c r="J107" s="45">
        <v>93.6</v>
      </c>
      <c r="K107" s="45"/>
      <c r="L107" s="45"/>
      <c r="M107" s="45">
        <v>93.6</v>
      </c>
    </row>
    <row r="108" spans="5:13" x14ac:dyDescent="0.25">
      <c r="E108" s="3" t="s">
        <v>21</v>
      </c>
      <c r="F108" s="45"/>
      <c r="G108" s="45">
        <v>120</v>
      </c>
      <c r="H108" s="45"/>
      <c r="I108" s="45"/>
      <c r="J108" s="45"/>
      <c r="K108" s="45"/>
      <c r="L108" s="45"/>
      <c r="M108" s="45">
        <v>120</v>
      </c>
    </row>
    <row r="109" spans="5:13" x14ac:dyDescent="0.25">
      <c r="E109" s="3" t="s">
        <v>25</v>
      </c>
      <c r="F109" s="45"/>
      <c r="G109" s="45">
        <v>172.5</v>
      </c>
      <c r="H109" s="45"/>
      <c r="I109" s="45">
        <v>216</v>
      </c>
      <c r="J109" s="45"/>
      <c r="K109" s="45"/>
      <c r="L109" s="45"/>
      <c r="M109" s="45">
        <v>388.5</v>
      </c>
    </row>
    <row r="110" spans="5:13" x14ac:dyDescent="0.25">
      <c r="E110" s="3" t="s">
        <v>69</v>
      </c>
      <c r="F110" s="45"/>
      <c r="G110" s="45"/>
      <c r="H110" s="45"/>
      <c r="I110" s="45"/>
      <c r="J110" s="45"/>
      <c r="K110" s="45">
        <v>142.5</v>
      </c>
      <c r="L110" s="45"/>
      <c r="M110" s="45">
        <v>142.5</v>
      </c>
    </row>
    <row r="111" spans="5:13" x14ac:dyDescent="0.25">
      <c r="E111" s="3" t="s">
        <v>33</v>
      </c>
      <c r="F111" s="45"/>
      <c r="G111" s="45"/>
      <c r="H111" s="45">
        <v>438.90000000000003</v>
      </c>
      <c r="I111" s="45"/>
      <c r="J111" s="45"/>
      <c r="K111" s="45"/>
      <c r="L111" s="45"/>
      <c r="M111" s="45">
        <v>438.90000000000003</v>
      </c>
    </row>
    <row r="112" spans="5:13" x14ac:dyDescent="0.25">
      <c r="E112" s="3" t="s">
        <v>19</v>
      </c>
      <c r="F112" s="45">
        <v>520</v>
      </c>
      <c r="G112" s="45"/>
      <c r="H112" s="45">
        <v>1802</v>
      </c>
      <c r="I112" s="45"/>
      <c r="J112" s="45"/>
      <c r="K112" s="45"/>
      <c r="L112" s="45"/>
      <c r="M112" s="45">
        <v>2322</v>
      </c>
    </row>
    <row r="113" spans="5:72" x14ac:dyDescent="0.25">
      <c r="E113" s="3" t="s">
        <v>27</v>
      </c>
      <c r="F113" s="45"/>
      <c r="G113" s="45"/>
      <c r="H113" s="45"/>
      <c r="I113" s="45"/>
      <c r="J113" s="45">
        <v>120</v>
      </c>
      <c r="K113" s="45"/>
      <c r="L113" s="45">
        <v>400</v>
      </c>
      <c r="M113" s="45">
        <v>520</v>
      </c>
    </row>
    <row r="114" spans="5:72" x14ac:dyDescent="0.25">
      <c r="E114" s="3" t="s">
        <v>26</v>
      </c>
      <c r="F114" s="45"/>
      <c r="G114" s="45"/>
      <c r="H114" s="45"/>
      <c r="I114" s="45"/>
      <c r="J114" s="45"/>
      <c r="K114" s="45"/>
      <c r="L114" s="45">
        <v>640</v>
      </c>
      <c r="M114" s="45">
        <v>640</v>
      </c>
    </row>
    <row r="115" spans="5:72" x14ac:dyDescent="0.25">
      <c r="E115" s="3" t="s">
        <v>30</v>
      </c>
      <c r="F115" s="45"/>
      <c r="G115" s="45"/>
      <c r="H115" s="45">
        <v>350</v>
      </c>
      <c r="I115" s="45"/>
      <c r="J115" s="45"/>
      <c r="K115" s="45"/>
      <c r="L115" s="45"/>
      <c r="M115" s="45">
        <v>350</v>
      </c>
      <c r="BT115">
        <f>MAX(BT106:BT112)</f>
        <v>0</v>
      </c>
    </row>
    <row r="116" spans="5:72" x14ac:dyDescent="0.25">
      <c r="E116" s="3" t="s">
        <v>32</v>
      </c>
      <c r="F116" s="45"/>
      <c r="G116" s="45"/>
      <c r="H116" s="45">
        <v>1236</v>
      </c>
      <c r="I116" s="45"/>
      <c r="J116" s="45"/>
      <c r="K116" s="45"/>
      <c r="L116" s="45"/>
      <c r="M116" s="45">
        <v>1236</v>
      </c>
    </row>
    <row r="117" spans="5:72" x14ac:dyDescent="0.25">
      <c r="E117" s="3" t="s">
        <v>45</v>
      </c>
      <c r="F117" s="45"/>
      <c r="G117" s="45"/>
      <c r="H117" s="45"/>
      <c r="I117" s="45">
        <v>234</v>
      </c>
      <c r="J117" s="45"/>
      <c r="K117" s="45"/>
      <c r="L117" s="45"/>
      <c r="M117" s="45">
        <v>234</v>
      </c>
    </row>
    <row r="118" spans="5:72" x14ac:dyDescent="0.25">
      <c r="E118" s="3" t="s">
        <v>42</v>
      </c>
      <c r="F118" s="45"/>
      <c r="G118" s="45"/>
      <c r="H118" s="45"/>
      <c r="I118" s="45">
        <v>50</v>
      </c>
      <c r="J118" s="45"/>
      <c r="K118" s="45"/>
      <c r="L118" s="45"/>
      <c r="M118" s="45">
        <v>50</v>
      </c>
    </row>
    <row r="119" spans="5:72" x14ac:dyDescent="0.25">
      <c r="E119" s="3" t="s">
        <v>15</v>
      </c>
      <c r="F119" s="45">
        <v>120</v>
      </c>
      <c r="G119" s="45"/>
      <c r="H119" s="45">
        <v>80</v>
      </c>
      <c r="I119" s="45">
        <v>142.80000000000001</v>
      </c>
      <c r="J119" s="45"/>
      <c r="K119" s="45"/>
      <c r="L119" s="45">
        <v>120</v>
      </c>
      <c r="M119" s="45">
        <v>462.8</v>
      </c>
    </row>
    <row r="120" spans="5:72" x14ac:dyDescent="0.25">
      <c r="E120" s="3" t="s">
        <v>70</v>
      </c>
      <c r="F120" s="45"/>
      <c r="G120" s="45"/>
      <c r="H120" s="45"/>
      <c r="I120" s="45"/>
      <c r="J120" s="45"/>
      <c r="K120" s="45">
        <v>38.4</v>
      </c>
      <c r="L120" s="45"/>
      <c r="M120" s="45">
        <v>38.4</v>
      </c>
    </row>
    <row r="121" spans="5:72" x14ac:dyDescent="0.25">
      <c r="E121" s="3" t="s">
        <v>14</v>
      </c>
      <c r="F121" s="45">
        <v>160</v>
      </c>
      <c r="G121" s="45">
        <v>240</v>
      </c>
      <c r="H121" s="45">
        <v>2200</v>
      </c>
      <c r="I121" s="45"/>
      <c r="J121" s="45">
        <v>1600</v>
      </c>
      <c r="K121" s="45"/>
      <c r="L121" s="45"/>
      <c r="M121" s="45">
        <v>4200</v>
      </c>
    </row>
    <row r="122" spans="5:72" x14ac:dyDescent="0.25">
      <c r="E122" s="3" t="s">
        <v>61</v>
      </c>
      <c r="F122" s="45"/>
      <c r="G122" s="45"/>
      <c r="H122" s="45"/>
      <c r="I122" s="45"/>
      <c r="J122" s="45">
        <v>4200</v>
      </c>
      <c r="K122" s="45"/>
      <c r="L122" s="45"/>
      <c r="M122" s="45">
        <v>4200</v>
      </c>
    </row>
    <row r="123" spans="5:72" x14ac:dyDescent="0.25">
      <c r="E123" s="3" t="s">
        <v>29</v>
      </c>
      <c r="F123" s="45"/>
      <c r="G123" s="45"/>
      <c r="H123" s="45"/>
      <c r="I123" s="45"/>
      <c r="J123" s="45"/>
      <c r="K123" s="45"/>
      <c r="L123" s="45">
        <v>120</v>
      </c>
      <c r="M123" s="45">
        <v>120</v>
      </c>
    </row>
    <row r="124" spans="5:72" x14ac:dyDescent="0.25">
      <c r="E124" s="3" t="s">
        <v>74</v>
      </c>
      <c r="F124" s="45"/>
      <c r="G124" s="45"/>
      <c r="H124" s="45"/>
      <c r="I124" s="45"/>
      <c r="J124" s="45"/>
      <c r="K124" s="45">
        <v>156</v>
      </c>
      <c r="L124" s="45"/>
      <c r="M124" s="45">
        <v>156</v>
      </c>
    </row>
    <row r="125" spans="5:72" x14ac:dyDescent="0.25">
      <c r="E125" s="3" t="s">
        <v>44</v>
      </c>
      <c r="F125" s="45"/>
      <c r="G125" s="45"/>
      <c r="H125" s="45"/>
      <c r="I125" s="45">
        <v>30</v>
      </c>
      <c r="J125" s="45"/>
      <c r="K125" s="45"/>
      <c r="L125" s="45"/>
      <c r="M125" s="45">
        <v>30</v>
      </c>
    </row>
    <row r="126" spans="5:72" x14ac:dyDescent="0.25">
      <c r="E126" s="3" t="s">
        <v>12</v>
      </c>
      <c r="F126" s="45">
        <v>50</v>
      </c>
      <c r="G126" s="45"/>
      <c r="H126" s="45">
        <v>59.4</v>
      </c>
      <c r="I126" s="45"/>
      <c r="J126" s="45"/>
      <c r="K126" s="45">
        <v>90</v>
      </c>
      <c r="L126" s="45">
        <v>60</v>
      </c>
      <c r="M126" s="45">
        <v>259.39999999999998</v>
      </c>
    </row>
    <row r="127" spans="5:72" x14ac:dyDescent="0.25">
      <c r="E127" s="3" t="s">
        <v>67</v>
      </c>
      <c r="F127" s="45"/>
      <c r="G127" s="45"/>
      <c r="H127" s="45"/>
      <c r="I127" s="45"/>
      <c r="J127" s="45">
        <v>114</v>
      </c>
      <c r="K127" s="45"/>
      <c r="L127" s="45"/>
      <c r="M127" s="45">
        <v>114</v>
      </c>
    </row>
    <row r="128" spans="5:72" x14ac:dyDescent="0.25">
      <c r="E128" s="3" t="s">
        <v>64</v>
      </c>
      <c r="F128" s="45"/>
      <c r="G128" s="45"/>
      <c r="H128" s="45"/>
      <c r="I128" s="45"/>
      <c r="J128" s="45">
        <v>195</v>
      </c>
      <c r="K128" s="45"/>
      <c r="L128" s="45"/>
      <c r="M128" s="45">
        <v>195</v>
      </c>
    </row>
    <row r="129" spans="5:13" x14ac:dyDescent="0.25">
      <c r="E129" s="3" t="s">
        <v>66</v>
      </c>
      <c r="F129" s="45"/>
      <c r="G129" s="45"/>
      <c r="H129" s="45"/>
      <c r="I129" s="45"/>
      <c r="J129" s="45">
        <v>112</v>
      </c>
      <c r="K129" s="45"/>
      <c r="L129" s="45"/>
      <c r="M129" s="45">
        <v>112</v>
      </c>
    </row>
    <row r="130" spans="5:13" x14ac:dyDescent="0.25">
      <c r="E130" s="3" t="s">
        <v>56</v>
      </c>
      <c r="F130" s="45"/>
      <c r="G130" s="45"/>
      <c r="H130" s="45"/>
      <c r="I130" s="45"/>
      <c r="J130" s="45">
        <v>603</v>
      </c>
      <c r="K130" s="45"/>
      <c r="L130" s="45"/>
      <c r="M130" s="45">
        <v>603</v>
      </c>
    </row>
    <row r="131" spans="5:13" x14ac:dyDescent="0.25">
      <c r="E131" s="3" t="s">
        <v>11</v>
      </c>
      <c r="F131" s="45">
        <v>96</v>
      </c>
      <c r="G131" s="45">
        <v>320</v>
      </c>
      <c r="H131" s="45">
        <v>253.2</v>
      </c>
      <c r="I131" s="45">
        <v>108</v>
      </c>
      <c r="J131" s="45">
        <v>803</v>
      </c>
      <c r="K131" s="45">
        <v>1755.6000000000001</v>
      </c>
      <c r="L131" s="45">
        <v>144</v>
      </c>
      <c r="M131" s="45">
        <v>3479.8</v>
      </c>
    </row>
    <row r="132" spans="5:13" x14ac:dyDescent="0.25">
      <c r="E132" s="3" t="s">
        <v>62</v>
      </c>
      <c r="F132" s="45"/>
      <c r="G132" s="45"/>
      <c r="H132" s="45"/>
      <c r="I132" s="45"/>
      <c r="J132" s="45">
        <v>300</v>
      </c>
      <c r="K132" s="45"/>
      <c r="L132" s="45"/>
      <c r="M132" s="45">
        <v>300</v>
      </c>
    </row>
    <row r="133" spans="5:13" x14ac:dyDescent="0.25">
      <c r="E133" s="3" t="s">
        <v>73</v>
      </c>
      <c r="F133" s="45"/>
      <c r="G133" s="45"/>
      <c r="H133" s="45"/>
      <c r="I133" s="45"/>
      <c r="J133" s="45"/>
      <c r="K133" s="45">
        <v>210</v>
      </c>
      <c r="L133" s="45"/>
      <c r="M133" s="45">
        <v>210</v>
      </c>
    </row>
    <row r="134" spans="5:13" x14ac:dyDescent="0.25">
      <c r="E134" s="3" t="s">
        <v>63</v>
      </c>
      <c r="F134" s="45"/>
      <c r="G134" s="45"/>
      <c r="H134" s="45"/>
      <c r="I134" s="45"/>
      <c r="J134" s="45">
        <v>400</v>
      </c>
      <c r="K134" s="45"/>
      <c r="L134" s="45"/>
      <c r="M134" s="45">
        <v>400</v>
      </c>
    </row>
    <row r="135" spans="5:13" x14ac:dyDescent="0.25">
      <c r="E135" s="3" t="s">
        <v>17</v>
      </c>
      <c r="F135" s="45">
        <v>80</v>
      </c>
      <c r="G135" s="45"/>
      <c r="H135" s="45">
        <v>240</v>
      </c>
      <c r="I135" s="45">
        <v>195</v>
      </c>
      <c r="J135" s="45">
        <v>803.2</v>
      </c>
      <c r="K135" s="45">
        <v>120</v>
      </c>
      <c r="L135" s="45"/>
      <c r="M135" s="45">
        <v>1438.2</v>
      </c>
    </row>
    <row r="136" spans="5:13" x14ac:dyDescent="0.25">
      <c r="E136" s="3" t="s">
        <v>13</v>
      </c>
      <c r="F136" s="45">
        <v>120</v>
      </c>
      <c r="G136" s="45"/>
      <c r="H136" s="45">
        <v>364.5</v>
      </c>
      <c r="I136" s="45">
        <v>253.2</v>
      </c>
      <c r="J136" s="45"/>
      <c r="K136" s="45">
        <v>253.2</v>
      </c>
      <c r="L136" s="45"/>
      <c r="M136" s="45">
        <v>990.90000000000009</v>
      </c>
    </row>
    <row r="137" spans="5:13" x14ac:dyDescent="0.25">
      <c r="E137" s="3" t="s">
        <v>40</v>
      </c>
      <c r="F137" s="45"/>
      <c r="G137" s="45"/>
      <c r="H137" s="45"/>
      <c r="I137" s="45">
        <v>217.5</v>
      </c>
      <c r="J137" s="45"/>
      <c r="K137" s="45"/>
      <c r="L137" s="45"/>
      <c r="M137" s="45">
        <v>217.5</v>
      </c>
    </row>
    <row r="138" spans="5:13" x14ac:dyDescent="0.25">
      <c r="E138" s="3" t="s">
        <v>49</v>
      </c>
      <c r="F138" s="45"/>
      <c r="G138" s="45"/>
      <c r="H138" s="45"/>
      <c r="I138" s="45">
        <v>603</v>
      </c>
      <c r="J138" s="45"/>
      <c r="K138" s="45"/>
      <c r="L138" s="45"/>
      <c r="M138" s="45">
        <v>603</v>
      </c>
    </row>
    <row r="139" spans="5:13" x14ac:dyDescent="0.25">
      <c r="E139" s="3" t="s">
        <v>34</v>
      </c>
      <c r="F139" s="45"/>
      <c r="G139" s="45"/>
      <c r="H139" s="45">
        <v>1416</v>
      </c>
      <c r="I139" s="45"/>
      <c r="J139" s="45"/>
      <c r="K139" s="45"/>
      <c r="L139" s="45"/>
      <c r="M139" s="45">
        <v>1416</v>
      </c>
    </row>
    <row r="140" spans="5:13" x14ac:dyDescent="0.25">
      <c r="E140" s="3" t="s">
        <v>51</v>
      </c>
      <c r="F140" s="45"/>
      <c r="G140" s="45"/>
      <c r="H140" s="45"/>
      <c r="I140" s="45">
        <v>603</v>
      </c>
      <c r="J140" s="45"/>
      <c r="K140" s="45"/>
      <c r="L140" s="45"/>
      <c r="M140" s="45">
        <v>603</v>
      </c>
    </row>
    <row r="141" spans="5:13" x14ac:dyDescent="0.25">
      <c r="E141" s="3" t="s">
        <v>58</v>
      </c>
      <c r="F141" s="45"/>
      <c r="G141" s="45"/>
      <c r="H141" s="45"/>
      <c r="I141" s="45"/>
      <c r="J141" s="45">
        <v>1600</v>
      </c>
      <c r="K141" s="45"/>
      <c r="L141" s="45"/>
      <c r="M141" s="45">
        <v>1600</v>
      </c>
    </row>
    <row r="142" spans="5:13" x14ac:dyDescent="0.25">
      <c r="E142" s="3" t="s">
        <v>23</v>
      </c>
      <c r="F142" s="45"/>
      <c r="G142" s="45">
        <v>50</v>
      </c>
      <c r="H142" s="45"/>
      <c r="I142" s="45"/>
      <c r="J142" s="45"/>
      <c r="K142" s="45"/>
      <c r="L142" s="45"/>
      <c r="M142" s="45">
        <v>50</v>
      </c>
    </row>
    <row r="143" spans="5:13" x14ac:dyDescent="0.25">
      <c r="E143" s="3" t="s">
        <v>18</v>
      </c>
      <c r="F143" s="45">
        <v>900</v>
      </c>
      <c r="G143" s="45"/>
      <c r="H143" s="45"/>
      <c r="I143" s="45"/>
      <c r="J143" s="45"/>
      <c r="K143" s="45">
        <v>240</v>
      </c>
      <c r="L143" s="45"/>
      <c r="M143" s="45">
        <v>1140</v>
      </c>
    </row>
    <row r="144" spans="5:13" x14ac:dyDescent="0.25">
      <c r="E144" s="3" t="s">
        <v>65</v>
      </c>
      <c r="F144" s="45"/>
      <c r="G144" s="45"/>
      <c r="H144" s="45"/>
      <c r="I144" s="45"/>
      <c r="J144" s="45">
        <v>400</v>
      </c>
      <c r="K144" s="45"/>
      <c r="L144" s="45"/>
      <c r="M144" s="45">
        <v>400</v>
      </c>
    </row>
    <row r="145" spans="5:13" x14ac:dyDescent="0.25">
      <c r="E145" s="3" t="s">
        <v>35</v>
      </c>
      <c r="F145" s="45"/>
      <c r="G145" s="45"/>
      <c r="H145" s="45">
        <v>971.2</v>
      </c>
      <c r="I145" s="45"/>
      <c r="J145" s="45"/>
      <c r="K145" s="45"/>
      <c r="L145" s="45"/>
      <c r="M145" s="45">
        <v>971.2</v>
      </c>
    </row>
    <row r="146" spans="5:13" x14ac:dyDescent="0.25">
      <c r="E146" s="3" t="s">
        <v>50</v>
      </c>
      <c r="F146" s="45"/>
      <c r="G146" s="45"/>
      <c r="H146" s="45"/>
      <c r="I146" s="45">
        <v>2505</v>
      </c>
      <c r="J146" s="45"/>
      <c r="K146" s="45"/>
      <c r="L146" s="45"/>
      <c r="M146" s="45">
        <v>2505</v>
      </c>
    </row>
    <row r="147" spans="5:13" x14ac:dyDescent="0.25">
      <c r="E147" s="3" t="s">
        <v>36</v>
      </c>
      <c r="F147" s="45"/>
      <c r="G147" s="45"/>
      <c r="H147" s="45"/>
      <c r="I147" s="45">
        <v>2030.8</v>
      </c>
      <c r="J147" s="45"/>
      <c r="K147" s="45"/>
      <c r="L147" s="45"/>
      <c r="M147" s="45">
        <v>2030.8</v>
      </c>
    </row>
    <row r="148" spans="5:13" x14ac:dyDescent="0.25">
      <c r="E148" s="3" t="s">
        <v>20</v>
      </c>
      <c r="F148" s="45"/>
      <c r="G148" s="45">
        <v>80</v>
      </c>
      <c r="H148" s="45"/>
      <c r="I148" s="45"/>
      <c r="J148" s="45"/>
      <c r="K148" s="45"/>
      <c r="L148" s="45"/>
      <c r="M148" s="45">
        <v>80</v>
      </c>
    </row>
    <row r="149" spans="5:13" x14ac:dyDescent="0.25">
      <c r="E149" s="3" t="s">
        <v>16</v>
      </c>
      <c r="F149" s="45">
        <v>24</v>
      </c>
      <c r="G149" s="45"/>
      <c r="H149" s="45">
        <v>320</v>
      </c>
      <c r="I149" s="45"/>
      <c r="J149" s="45">
        <v>1283.2</v>
      </c>
      <c r="K149" s="45"/>
      <c r="L149" s="45"/>
      <c r="M149" s="45">
        <v>1627.2</v>
      </c>
    </row>
    <row r="150" spans="5:13" x14ac:dyDescent="0.25">
      <c r="E150" s="3" t="s">
        <v>55</v>
      </c>
      <c r="F150" s="45"/>
      <c r="G150" s="45"/>
      <c r="H150" s="45"/>
      <c r="I150" s="45"/>
      <c r="J150" s="45">
        <v>1628</v>
      </c>
      <c r="K150" s="45"/>
      <c r="L150" s="45"/>
      <c r="M150" s="45">
        <v>1628</v>
      </c>
    </row>
    <row r="151" spans="5:13" x14ac:dyDescent="0.25">
      <c r="E151" s="3" t="s">
        <v>59</v>
      </c>
      <c r="F151" s="45"/>
      <c r="G151" s="45"/>
      <c r="H151" s="45"/>
      <c r="I151" s="45"/>
      <c r="J151" s="45">
        <v>140</v>
      </c>
      <c r="K151" s="45"/>
      <c r="L151" s="45"/>
      <c r="M151" s="45">
        <v>140</v>
      </c>
    </row>
    <row r="152" spans="5:13" x14ac:dyDescent="0.25">
      <c r="E152" s="3" t="s">
        <v>38</v>
      </c>
      <c r="F152" s="45"/>
      <c r="G152" s="45"/>
      <c r="H152" s="45"/>
      <c r="I152" s="45">
        <v>120</v>
      </c>
      <c r="J152" s="45"/>
      <c r="K152" s="45"/>
      <c r="L152" s="45"/>
      <c r="M152" s="45">
        <v>120</v>
      </c>
    </row>
    <row r="153" spans="5:13" x14ac:dyDescent="0.25">
      <c r="E153" s="3" t="s">
        <v>52</v>
      </c>
      <c r="F153" s="45"/>
      <c r="G153" s="45"/>
      <c r="H153" s="45"/>
      <c r="I153" s="45"/>
      <c r="J153" s="45">
        <v>1596</v>
      </c>
      <c r="K153" s="45"/>
      <c r="L153" s="45"/>
      <c r="M153" s="45">
        <v>1596</v>
      </c>
    </row>
    <row r="154" spans="5:13" x14ac:dyDescent="0.25">
      <c r="E154" s="3" t="s">
        <v>37</v>
      </c>
      <c r="F154" s="45"/>
      <c r="G154" s="45"/>
      <c r="H154" s="45"/>
      <c r="I154" s="45">
        <v>1294.4000000000001</v>
      </c>
      <c r="J154" s="45"/>
      <c r="K154" s="45"/>
      <c r="L154" s="45"/>
      <c r="M154" s="45">
        <v>1294.4000000000001</v>
      </c>
    </row>
    <row r="155" spans="5:13" x14ac:dyDescent="0.25">
      <c r="E155" s="3" t="s">
        <v>46</v>
      </c>
      <c r="F155" s="45"/>
      <c r="G155" s="45"/>
      <c r="H155" s="45"/>
      <c r="I155" s="45">
        <v>221.39999999999998</v>
      </c>
      <c r="J155" s="45"/>
      <c r="K155" s="45"/>
      <c r="L155" s="45"/>
      <c r="M155" s="45">
        <v>221.39999999999998</v>
      </c>
    </row>
    <row r="156" spans="5:13" x14ac:dyDescent="0.25">
      <c r="E156" s="3" t="s">
        <v>47</v>
      </c>
      <c r="F156" s="45"/>
      <c r="G156" s="45"/>
      <c r="H156" s="45"/>
      <c r="I156" s="45">
        <v>1559.3999999999999</v>
      </c>
      <c r="J156" s="45"/>
      <c r="K156" s="45"/>
      <c r="L156" s="45"/>
      <c r="M156" s="45">
        <v>1559.3999999999999</v>
      </c>
    </row>
    <row r="157" spans="5:13" x14ac:dyDescent="0.25">
      <c r="E157" s="3" t="s">
        <v>41</v>
      </c>
      <c r="F157" s="45"/>
      <c r="G157" s="45"/>
      <c r="H157" s="45"/>
      <c r="I157" s="45">
        <v>256.8</v>
      </c>
      <c r="J157" s="45"/>
      <c r="K157" s="45"/>
      <c r="L157" s="45"/>
      <c r="M157" s="45">
        <v>256.8</v>
      </c>
    </row>
    <row r="158" spans="5:13" x14ac:dyDescent="0.25">
      <c r="E158" s="3" t="s">
        <v>39</v>
      </c>
      <c r="F158" s="45"/>
      <c r="G158" s="45"/>
      <c r="H158" s="45"/>
      <c r="I158" s="45">
        <v>150</v>
      </c>
      <c r="J158" s="45"/>
      <c r="K158" s="45"/>
      <c r="L158" s="45"/>
      <c r="M158" s="45">
        <v>150</v>
      </c>
    </row>
    <row r="159" spans="5:13" x14ac:dyDescent="0.25">
      <c r="E159" s="3" t="s">
        <v>53</v>
      </c>
      <c r="F159" s="45"/>
      <c r="G159" s="45"/>
      <c r="H159" s="45"/>
      <c r="I159" s="45"/>
      <c r="J159" s="45">
        <v>1016</v>
      </c>
      <c r="K159" s="45"/>
      <c r="L159" s="45"/>
      <c r="M159" s="45">
        <v>1016</v>
      </c>
    </row>
    <row r="160" spans="5:13" x14ac:dyDescent="0.25">
      <c r="E160" s="3" t="s">
        <v>48</v>
      </c>
      <c r="F160" s="45"/>
      <c r="G160" s="45"/>
      <c r="H160" s="45"/>
      <c r="I160" s="45">
        <v>464</v>
      </c>
      <c r="J160" s="45"/>
      <c r="K160" s="45"/>
      <c r="L160" s="45"/>
      <c r="M160" s="45">
        <v>464</v>
      </c>
    </row>
    <row r="161" spans="5:13" x14ac:dyDescent="0.25">
      <c r="E161" s="3" t="s">
        <v>22</v>
      </c>
      <c r="F161" s="45"/>
      <c r="G161" s="45">
        <v>240</v>
      </c>
      <c r="H161" s="45"/>
      <c r="I161" s="45"/>
      <c r="J161" s="45"/>
      <c r="K161" s="45"/>
      <c r="L161" s="45"/>
      <c r="M161" s="45">
        <v>240</v>
      </c>
    </row>
    <row r="162" spans="5:13" x14ac:dyDescent="0.25">
      <c r="E162" s="3" t="s">
        <v>57</v>
      </c>
      <c r="F162" s="45"/>
      <c r="G162" s="45"/>
      <c r="H162" s="45"/>
      <c r="I162" s="45"/>
      <c r="J162" s="45">
        <v>500</v>
      </c>
      <c r="K162" s="45"/>
      <c r="L162" s="45"/>
      <c r="M162" s="45">
        <v>500</v>
      </c>
    </row>
    <row r="163" spans="5:13" x14ac:dyDescent="0.25">
      <c r="E163" s="3" t="s">
        <v>54</v>
      </c>
      <c r="F163" s="45"/>
      <c r="G163" s="45"/>
      <c r="H163" s="45"/>
      <c r="I163" s="45"/>
      <c r="J163" s="45">
        <v>2406</v>
      </c>
      <c r="K163" s="45"/>
      <c r="L163" s="45"/>
      <c r="M163" s="45">
        <v>2406</v>
      </c>
    </row>
    <row r="164" spans="5:13" x14ac:dyDescent="0.25">
      <c r="E164" s="3" t="s">
        <v>76</v>
      </c>
      <c r="F164" s="45"/>
      <c r="G164" s="45"/>
      <c r="H164" s="45"/>
      <c r="I164" s="45"/>
      <c r="J164" s="45"/>
      <c r="K164" s="45">
        <v>24</v>
      </c>
      <c r="L164" s="45"/>
      <c r="M164" s="45">
        <v>24</v>
      </c>
    </row>
    <row r="165" spans="5:13" x14ac:dyDescent="0.25">
      <c r="E165" s="3" t="s">
        <v>75</v>
      </c>
      <c r="F165" s="45"/>
      <c r="G165" s="45"/>
      <c r="H165" s="45"/>
      <c r="I165" s="45"/>
      <c r="J165" s="45"/>
      <c r="K165" s="45">
        <v>48</v>
      </c>
      <c r="L165" s="45"/>
      <c r="M165" s="45">
        <v>48</v>
      </c>
    </row>
    <row r="166" spans="5:13" x14ac:dyDescent="0.25">
      <c r="E166" s="3" t="s">
        <v>72</v>
      </c>
      <c r="F166" s="45"/>
      <c r="G166" s="45"/>
      <c r="H166" s="45"/>
      <c r="I166" s="45"/>
      <c r="J166" s="45"/>
      <c r="K166" s="45">
        <v>140</v>
      </c>
      <c r="L166" s="45"/>
      <c r="M166" s="45">
        <v>140</v>
      </c>
    </row>
    <row r="167" spans="5:13" x14ac:dyDescent="0.25">
      <c r="E167" s="3" t="s">
        <v>28</v>
      </c>
      <c r="F167" s="45"/>
      <c r="G167" s="45"/>
      <c r="H167" s="45"/>
      <c r="I167" s="45"/>
      <c r="J167" s="45">
        <v>1233</v>
      </c>
      <c r="K167" s="45"/>
      <c r="L167" s="45">
        <v>1260</v>
      </c>
      <c r="M167" s="45">
        <v>2493</v>
      </c>
    </row>
    <row r="168" spans="5:13" x14ac:dyDescent="0.25">
      <c r="E168" s="3" t="s">
        <v>71</v>
      </c>
      <c r="F168" s="45"/>
      <c r="G168" s="45"/>
      <c r="H168" s="45"/>
      <c r="I168" s="45"/>
      <c r="J168" s="45"/>
      <c r="K168" s="45">
        <v>294</v>
      </c>
      <c r="L168" s="45"/>
      <c r="M168" s="45">
        <v>294</v>
      </c>
    </row>
    <row r="169" spans="5:13" x14ac:dyDescent="0.25">
      <c r="E169" s="3" t="s">
        <v>60</v>
      </c>
      <c r="F169" s="45"/>
      <c r="G169" s="45"/>
      <c r="H169" s="45"/>
      <c r="I169" s="45"/>
      <c r="J169" s="45">
        <v>3000</v>
      </c>
      <c r="K169" s="45"/>
      <c r="L169" s="45"/>
      <c r="M169" s="45">
        <v>3000</v>
      </c>
    </row>
    <row r="170" spans="5:13" x14ac:dyDescent="0.25">
      <c r="E170" s="3" t="s">
        <v>43</v>
      </c>
      <c r="F170" s="45"/>
      <c r="G170" s="45"/>
      <c r="H170" s="45"/>
      <c r="I170" s="45">
        <v>210</v>
      </c>
      <c r="J170" s="45"/>
      <c r="K170" s="45">
        <v>406</v>
      </c>
      <c r="L170" s="45"/>
      <c r="M170" s="45">
        <v>616</v>
      </c>
    </row>
    <row r="171" spans="5:13" x14ac:dyDescent="0.25">
      <c r="E171" s="3" t="s">
        <v>31</v>
      </c>
      <c r="F171" s="45"/>
      <c r="G171" s="45"/>
      <c r="H171" s="45">
        <v>37.5</v>
      </c>
      <c r="I171" s="45"/>
      <c r="J171" s="45"/>
      <c r="K171" s="45"/>
      <c r="L171" s="45"/>
      <c r="M171" s="45">
        <v>37.5</v>
      </c>
    </row>
    <row r="172" spans="5:13" x14ac:dyDescent="0.25">
      <c r="E172" s="3" t="s">
        <v>365</v>
      </c>
      <c r="F172" s="45">
        <v>2070</v>
      </c>
      <c r="G172" s="45">
        <v>1302.5</v>
      </c>
      <c r="H172" s="45">
        <v>9768.7000000000007</v>
      </c>
      <c r="I172" s="45">
        <v>11464.3</v>
      </c>
      <c r="J172" s="45">
        <v>24146</v>
      </c>
      <c r="K172" s="45">
        <v>3917.7</v>
      </c>
      <c r="L172" s="45">
        <v>2744</v>
      </c>
      <c r="M172" s="45">
        <v>55413.200000000004</v>
      </c>
    </row>
    <row r="174" spans="5:13" x14ac:dyDescent="0.25">
      <c r="F174">
        <f>MAX(F106:F171)</f>
        <v>900</v>
      </c>
    </row>
  </sheetData>
  <conditionalFormatting sqref="I74:I96 I103:I105 I98:I101">
    <cfRule type="cellIs" dxfId="88" priority="1" operator="between">
      <formula>4000</formula>
      <formula>4500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F2AD-F739-447A-B28A-5B73EA7DAB39}">
  <sheetPr codeName="Sheet4"/>
  <dimension ref="A1"/>
  <sheetViews>
    <sheetView topLeftCell="A6" zoomScale="60" zoomScaleNormal="60" workbookViewId="0">
      <selection activeCell="F26" sqref="F26"/>
    </sheetView>
  </sheetViews>
  <sheetFormatPr defaultRowHeight="15" x14ac:dyDescent="0.25"/>
  <cols>
    <col min="1" max="1" width="13.140625" bestFit="1" customWidth="1"/>
    <col min="2" max="2" width="12.7109375" bestFit="1" customWidth="1"/>
    <col min="4" max="4" width="13.140625" bestFit="1" customWidth="1"/>
    <col min="5" max="5" width="12.7109375"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8339A-7422-41AE-A27F-A5C482B2D0E1}">
  <sheetPr codeName="Sheet11"/>
  <dimension ref="A3:I6"/>
  <sheetViews>
    <sheetView workbookViewId="0">
      <selection activeCell="H4" sqref="H4:I7"/>
    </sheetView>
  </sheetViews>
  <sheetFormatPr defaultRowHeight="15" x14ac:dyDescent="0.25"/>
  <cols>
    <col min="1" max="1" width="13.140625" bestFit="1" customWidth="1"/>
    <col min="2" max="2" width="12.7109375" bestFit="1" customWidth="1"/>
    <col min="8" max="8" width="13.140625" bestFit="1" customWidth="1"/>
    <col min="9" max="9" width="12.7109375" bestFit="1" customWidth="1"/>
  </cols>
  <sheetData>
    <row r="3" spans="1:9" x14ac:dyDescent="0.25">
      <c r="A3" s="2" t="s">
        <v>366</v>
      </c>
      <c r="B3" t="s">
        <v>364</v>
      </c>
    </row>
    <row r="4" spans="1:9" x14ac:dyDescent="0.25">
      <c r="A4" s="3" t="s">
        <v>80</v>
      </c>
      <c r="B4">
        <v>240</v>
      </c>
      <c r="H4" s="2" t="s">
        <v>366</v>
      </c>
      <c r="I4" t="s">
        <v>364</v>
      </c>
    </row>
    <row r="5" spans="1:9" x14ac:dyDescent="0.25">
      <c r="A5" s="3" t="s">
        <v>365</v>
      </c>
      <c r="B5">
        <v>240</v>
      </c>
      <c r="H5" s="3" t="s">
        <v>83</v>
      </c>
      <c r="I5">
        <v>240</v>
      </c>
    </row>
    <row r="6" spans="1:9" x14ac:dyDescent="0.25">
      <c r="H6" s="3" t="s">
        <v>365</v>
      </c>
      <c r="I6">
        <v>240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2D773-A644-4DAF-A58E-8700383689A7}">
  <sheetPr codeName="Sheet1"/>
  <dimension ref="A10"/>
  <sheetViews>
    <sheetView zoomScaleNormal="100" workbookViewId="0"/>
  </sheetViews>
  <sheetFormatPr defaultRowHeight="15" x14ac:dyDescent="0.25"/>
  <cols>
    <col min="1" max="16384" width="9.140625" style="36"/>
  </cols>
  <sheetData>
    <row r="10" s="36" customFormat="1" ht="18" customHeight="1"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C3C58-2A10-4F8A-B175-4B447EB53482}">
  <sheetPr codeName="Sheet2"/>
  <dimension ref="A1:M145"/>
  <sheetViews>
    <sheetView tabSelected="1" zoomScale="60" zoomScaleNormal="60" workbookViewId="0">
      <selection activeCell="N12" sqref="N12"/>
    </sheetView>
  </sheetViews>
  <sheetFormatPr defaultRowHeight="15" x14ac:dyDescent="0.25"/>
  <cols>
    <col min="1" max="1" width="12.7109375" customWidth="1"/>
    <col min="2" max="2" width="18" bestFit="1" customWidth="1"/>
    <col min="3" max="3" width="21.85546875" bestFit="1" customWidth="1"/>
    <col min="4" max="4" width="12.85546875" bestFit="1" customWidth="1"/>
    <col min="5" max="5" width="14.28515625" bestFit="1" customWidth="1"/>
    <col min="6" max="6" width="16.42578125" bestFit="1" customWidth="1"/>
    <col min="7" max="7" width="23.28515625" bestFit="1" customWidth="1"/>
    <col min="8" max="9" width="15.140625" bestFit="1" customWidth="1"/>
    <col min="10" max="10" width="10.7109375" bestFit="1" customWidth="1"/>
    <col min="11" max="11" width="19.7109375" bestFit="1" customWidth="1"/>
    <col min="12" max="13" width="12.5703125" bestFit="1" customWidth="1"/>
  </cols>
  <sheetData>
    <row r="1" spans="1:13" x14ac:dyDescent="0.25">
      <c r="A1" s="5" t="s">
        <v>0</v>
      </c>
      <c r="B1" s="5" t="s">
        <v>9</v>
      </c>
      <c r="C1" s="5" t="s">
        <v>1</v>
      </c>
      <c r="D1" s="5" t="s">
        <v>10</v>
      </c>
      <c r="E1" s="5" t="s">
        <v>8</v>
      </c>
      <c r="F1" s="5" t="s">
        <v>2</v>
      </c>
      <c r="G1" s="5" t="s">
        <v>3</v>
      </c>
      <c r="H1" s="6" t="s">
        <v>4</v>
      </c>
      <c r="I1" s="6" t="s">
        <v>5</v>
      </c>
      <c r="J1" s="6" t="s">
        <v>240</v>
      </c>
      <c r="K1" s="6" t="s">
        <v>6</v>
      </c>
      <c r="L1" s="6" t="s">
        <v>7</v>
      </c>
      <c r="M1" s="7" t="s">
        <v>356</v>
      </c>
    </row>
    <row r="2" spans="1:13" x14ac:dyDescent="0.25">
      <c r="A2" s="8">
        <v>45292</v>
      </c>
      <c r="B2" s="1" t="s">
        <v>245</v>
      </c>
      <c r="C2" s="1" t="s">
        <v>11</v>
      </c>
      <c r="D2" s="1" t="s">
        <v>79</v>
      </c>
      <c r="E2" s="1" t="s">
        <v>81</v>
      </c>
      <c r="F2" s="1" t="s">
        <v>84</v>
      </c>
      <c r="G2" s="1" t="s">
        <v>130</v>
      </c>
      <c r="H2" s="1">
        <v>80</v>
      </c>
      <c r="I2" s="1">
        <v>1.2</v>
      </c>
      <c r="J2" s="1">
        <f>Table1[[#This Row],[QUANTITY]]*Table1[[#This Row],[PRICE(INR)]]</f>
        <v>96</v>
      </c>
      <c r="K2" s="1" t="s">
        <v>193</v>
      </c>
      <c r="L2" s="1" t="s">
        <v>236</v>
      </c>
      <c r="M2" s="1" t="s">
        <v>357</v>
      </c>
    </row>
    <row r="3" spans="1:13" x14ac:dyDescent="0.25">
      <c r="A3" s="8">
        <v>45292</v>
      </c>
      <c r="B3" s="1" t="s">
        <v>256</v>
      </c>
      <c r="C3" s="1" t="s">
        <v>12</v>
      </c>
      <c r="D3" s="1" t="s">
        <v>79</v>
      </c>
      <c r="E3" s="1" t="s">
        <v>82</v>
      </c>
      <c r="F3" s="1" t="s">
        <v>85</v>
      </c>
      <c r="G3" s="1" t="s">
        <v>131</v>
      </c>
      <c r="H3" s="1">
        <v>100</v>
      </c>
      <c r="I3" s="1">
        <v>0.5</v>
      </c>
      <c r="J3" s="1">
        <f>Table1[[#This Row],[QUANTITY]]*Table1[[#This Row],[PRICE(INR)]]</f>
        <v>50</v>
      </c>
      <c r="K3" s="1" t="s">
        <v>194</v>
      </c>
      <c r="L3" s="1" t="s">
        <v>237</v>
      </c>
      <c r="M3" s="1" t="s">
        <v>357</v>
      </c>
    </row>
    <row r="4" spans="1:13" x14ac:dyDescent="0.25">
      <c r="A4" s="8">
        <v>45323</v>
      </c>
      <c r="B4" s="1" t="s">
        <v>257</v>
      </c>
      <c r="C4" s="1" t="s">
        <v>13</v>
      </c>
      <c r="D4" s="1" t="s">
        <v>79</v>
      </c>
      <c r="E4" s="1" t="s">
        <v>83</v>
      </c>
      <c r="F4" s="1" t="s">
        <v>86</v>
      </c>
      <c r="G4" s="1" t="s">
        <v>132</v>
      </c>
      <c r="H4" s="1">
        <v>150</v>
      </c>
      <c r="I4" s="1">
        <v>0.8</v>
      </c>
      <c r="J4" s="1">
        <f>Table1[[#This Row],[QUANTITY]]*Table1[[#This Row],[PRICE(INR)]]</f>
        <v>120</v>
      </c>
      <c r="K4" s="1" t="s">
        <v>195</v>
      </c>
      <c r="L4" s="1" t="s">
        <v>237</v>
      </c>
      <c r="M4" s="1" t="s">
        <v>357</v>
      </c>
    </row>
    <row r="5" spans="1:13" x14ac:dyDescent="0.25">
      <c r="A5" s="8">
        <v>45323</v>
      </c>
      <c r="B5" s="1" t="s">
        <v>246</v>
      </c>
      <c r="C5" s="1" t="s">
        <v>14</v>
      </c>
      <c r="D5" s="1" t="s">
        <v>80</v>
      </c>
      <c r="E5" s="1" t="s">
        <v>82</v>
      </c>
      <c r="F5" s="1" t="s">
        <v>87</v>
      </c>
      <c r="G5" s="1" t="s">
        <v>133</v>
      </c>
      <c r="H5" s="1">
        <v>80</v>
      </c>
      <c r="I5" s="1">
        <v>2</v>
      </c>
      <c r="J5" s="1">
        <f>Table1[[#This Row],[QUANTITY]]*Table1[[#This Row],[PRICE(INR)]]</f>
        <v>160</v>
      </c>
      <c r="K5" s="1" t="s">
        <v>196</v>
      </c>
      <c r="L5" s="1" t="s">
        <v>236</v>
      </c>
      <c r="M5" s="1" t="s">
        <v>357</v>
      </c>
    </row>
    <row r="6" spans="1:13" x14ac:dyDescent="0.25">
      <c r="A6" s="8">
        <v>45323</v>
      </c>
      <c r="B6" s="1" t="s">
        <v>258</v>
      </c>
      <c r="C6" s="1" t="s">
        <v>15</v>
      </c>
      <c r="D6" s="1" t="s">
        <v>79</v>
      </c>
      <c r="E6" s="1" t="s">
        <v>82</v>
      </c>
      <c r="F6" s="1" t="s">
        <v>88</v>
      </c>
      <c r="G6" s="1" t="s">
        <v>134</v>
      </c>
      <c r="H6" s="1">
        <v>200</v>
      </c>
      <c r="I6" s="1">
        <v>0.6</v>
      </c>
      <c r="J6" s="1">
        <f>Table1[[#This Row],[QUANTITY]]*Table1[[#This Row],[PRICE(INR)]]</f>
        <v>120</v>
      </c>
      <c r="K6" s="1" t="s">
        <v>197</v>
      </c>
      <c r="L6" s="1" t="s">
        <v>238</v>
      </c>
      <c r="M6" s="1" t="s">
        <v>357</v>
      </c>
    </row>
    <row r="7" spans="1:13" x14ac:dyDescent="0.25">
      <c r="A7" s="8">
        <v>45323</v>
      </c>
      <c r="B7" s="1" t="s">
        <v>247</v>
      </c>
      <c r="C7" s="1" t="s">
        <v>16</v>
      </c>
      <c r="D7" s="1" t="s">
        <v>80</v>
      </c>
      <c r="E7" s="1" t="s">
        <v>82</v>
      </c>
      <c r="F7" s="1" t="s">
        <v>89</v>
      </c>
      <c r="G7" s="1" t="s">
        <v>135</v>
      </c>
      <c r="H7" s="1">
        <v>60</v>
      </c>
      <c r="I7" s="1">
        <v>0.4</v>
      </c>
      <c r="J7" s="1">
        <f>Table1[[#This Row],[QUANTITY]]*Table1[[#This Row],[PRICE(INR)]]</f>
        <v>24</v>
      </c>
      <c r="K7" s="1" t="s">
        <v>198</v>
      </c>
      <c r="L7" s="1" t="s">
        <v>239</v>
      </c>
      <c r="M7" s="1" t="s">
        <v>357</v>
      </c>
    </row>
    <row r="8" spans="1:13" x14ac:dyDescent="0.25">
      <c r="A8" s="8">
        <v>45352</v>
      </c>
      <c r="B8" s="1" t="s">
        <v>259</v>
      </c>
      <c r="C8" s="1" t="s">
        <v>17</v>
      </c>
      <c r="D8" s="1" t="s">
        <v>80</v>
      </c>
      <c r="E8" s="1" t="s">
        <v>81</v>
      </c>
      <c r="F8" s="1" t="s">
        <v>90</v>
      </c>
      <c r="G8" s="1" t="s">
        <v>136</v>
      </c>
      <c r="H8" s="1">
        <v>80</v>
      </c>
      <c r="I8" s="1">
        <v>1</v>
      </c>
      <c r="J8" s="1">
        <f>Table1[[#This Row],[QUANTITY]]*Table1[[#This Row],[PRICE(INR)]]</f>
        <v>80</v>
      </c>
      <c r="K8" s="1" t="s">
        <v>199</v>
      </c>
      <c r="L8" s="1" t="s">
        <v>236</v>
      </c>
      <c r="M8" s="1" t="s">
        <v>357</v>
      </c>
    </row>
    <row r="9" spans="1:13" x14ac:dyDescent="0.25">
      <c r="A9" s="1" t="s">
        <v>77</v>
      </c>
      <c r="B9" s="1" t="s">
        <v>252</v>
      </c>
      <c r="C9" s="1" t="s">
        <v>18</v>
      </c>
      <c r="D9" s="1" t="s">
        <v>79</v>
      </c>
      <c r="E9" s="1" t="s">
        <v>83</v>
      </c>
      <c r="F9" s="1" t="s">
        <v>91</v>
      </c>
      <c r="G9" s="1" t="s">
        <v>137</v>
      </c>
      <c r="H9" s="1">
        <v>300</v>
      </c>
      <c r="I9" s="1">
        <v>3</v>
      </c>
      <c r="J9" s="1">
        <f>Table1[[#This Row],[QUANTITY]]*Table1[[#This Row],[PRICE(INR)]]</f>
        <v>900</v>
      </c>
      <c r="K9" s="1" t="s">
        <v>200</v>
      </c>
      <c r="L9" s="1" t="s">
        <v>237</v>
      </c>
      <c r="M9" s="1" t="s">
        <v>357</v>
      </c>
    </row>
    <row r="10" spans="1:13" x14ac:dyDescent="0.25">
      <c r="A10" s="1" t="s">
        <v>78</v>
      </c>
      <c r="B10" s="1" t="s">
        <v>251</v>
      </c>
      <c r="C10" s="1" t="s">
        <v>19</v>
      </c>
      <c r="D10" s="1" t="s">
        <v>80</v>
      </c>
      <c r="E10" s="1" t="s">
        <v>82</v>
      </c>
      <c r="F10" s="1" t="s">
        <v>92</v>
      </c>
      <c r="G10" s="1" t="s">
        <v>138</v>
      </c>
      <c r="H10" s="1">
        <v>100</v>
      </c>
      <c r="I10" s="1">
        <v>5.2</v>
      </c>
      <c r="J10" s="1">
        <f>Table1[[#This Row],[QUANTITY]]*Table1[[#This Row],[PRICE(INR)]]</f>
        <v>520</v>
      </c>
      <c r="K10" s="1" t="s">
        <v>201</v>
      </c>
      <c r="L10" s="1" t="s">
        <v>238</v>
      </c>
      <c r="M10" s="1" t="s">
        <v>357</v>
      </c>
    </row>
    <row r="11" spans="1:13" x14ac:dyDescent="0.25">
      <c r="A11" s="8">
        <v>45324</v>
      </c>
      <c r="B11" s="1" t="s">
        <v>245</v>
      </c>
      <c r="C11" s="1" t="s">
        <v>11</v>
      </c>
      <c r="D11" s="1" t="s">
        <v>79</v>
      </c>
      <c r="E11" s="1" t="s">
        <v>81</v>
      </c>
      <c r="F11" s="1" t="s">
        <v>93</v>
      </c>
      <c r="G11" s="1" t="s">
        <v>139</v>
      </c>
      <c r="H11" s="1">
        <v>100</v>
      </c>
      <c r="I11" s="1">
        <v>3.2</v>
      </c>
      <c r="J11" s="1">
        <f>Table1[[#This Row],[QUANTITY]]*Table1[[#This Row],[PRICE(INR)]]</f>
        <v>320</v>
      </c>
      <c r="K11" s="1" t="s">
        <v>193</v>
      </c>
      <c r="L11" s="1" t="s">
        <v>239</v>
      </c>
      <c r="M11" s="1" t="s">
        <v>358</v>
      </c>
    </row>
    <row r="12" spans="1:13" x14ac:dyDescent="0.25">
      <c r="A12" s="8">
        <v>45414</v>
      </c>
      <c r="B12" s="1" t="s">
        <v>253</v>
      </c>
      <c r="C12" s="1" t="s">
        <v>14</v>
      </c>
      <c r="D12" s="1" t="s">
        <v>80</v>
      </c>
      <c r="E12" s="1" t="s">
        <v>82</v>
      </c>
      <c r="F12" s="1" t="s">
        <v>84</v>
      </c>
      <c r="G12" s="1" t="s">
        <v>130</v>
      </c>
      <c r="H12" s="1">
        <v>200</v>
      </c>
      <c r="I12" s="1">
        <v>1.2</v>
      </c>
      <c r="J12" s="1">
        <f>Table1[[#This Row],[QUANTITY]]*Table1[[#This Row],[PRICE(INR)]]</f>
        <v>240</v>
      </c>
      <c r="K12" s="1" t="s">
        <v>202</v>
      </c>
      <c r="L12" s="1" t="s">
        <v>239</v>
      </c>
      <c r="M12" s="1" t="s">
        <v>358</v>
      </c>
    </row>
    <row r="13" spans="1:13" x14ac:dyDescent="0.25">
      <c r="A13" s="8">
        <v>45353</v>
      </c>
      <c r="B13" s="1" t="s">
        <v>248</v>
      </c>
      <c r="C13" s="1" t="s">
        <v>20</v>
      </c>
      <c r="D13" s="1" t="s">
        <v>80</v>
      </c>
      <c r="E13" s="1" t="s">
        <v>82</v>
      </c>
      <c r="F13" s="1" t="s">
        <v>94</v>
      </c>
      <c r="G13" s="1" t="s">
        <v>140</v>
      </c>
      <c r="H13" s="1">
        <v>32</v>
      </c>
      <c r="I13" s="1">
        <v>2.5</v>
      </c>
      <c r="J13" s="1">
        <f>Table1[[#This Row],[QUANTITY]]*Table1[[#This Row],[PRICE(INR)]]</f>
        <v>80</v>
      </c>
      <c r="K13" s="1" t="s">
        <v>203</v>
      </c>
      <c r="L13" s="1" t="s">
        <v>239</v>
      </c>
      <c r="M13" s="1" t="s">
        <v>358</v>
      </c>
    </row>
    <row r="14" spans="1:13" x14ac:dyDescent="0.25">
      <c r="A14" s="8">
        <v>45384</v>
      </c>
      <c r="B14" s="1" t="s">
        <v>260</v>
      </c>
      <c r="C14" s="1" t="s">
        <v>21</v>
      </c>
      <c r="D14" s="1" t="s">
        <v>79</v>
      </c>
      <c r="E14" s="1" t="s">
        <v>82</v>
      </c>
      <c r="F14" s="1" t="s">
        <v>84</v>
      </c>
      <c r="G14" s="1" t="s">
        <v>130</v>
      </c>
      <c r="H14" s="1">
        <v>100</v>
      </c>
      <c r="I14" s="1">
        <v>1.2</v>
      </c>
      <c r="J14" s="1">
        <f>Table1[[#This Row],[QUANTITY]]*Table1[[#This Row],[PRICE(INR)]]</f>
        <v>120</v>
      </c>
      <c r="K14" s="1" t="s">
        <v>204</v>
      </c>
      <c r="L14" s="1" t="s">
        <v>238</v>
      </c>
      <c r="M14" s="1" t="s">
        <v>358</v>
      </c>
    </row>
    <row r="15" spans="1:13" x14ac:dyDescent="0.25">
      <c r="A15" s="1" t="s">
        <v>241</v>
      </c>
      <c r="B15" s="1" t="s">
        <v>261</v>
      </c>
      <c r="C15" s="1" t="s">
        <v>22</v>
      </c>
      <c r="D15" s="1" t="s">
        <v>80</v>
      </c>
      <c r="E15" s="1" t="s">
        <v>83</v>
      </c>
      <c r="F15" s="1" t="s">
        <v>84</v>
      </c>
      <c r="G15" s="1" t="s">
        <v>130</v>
      </c>
      <c r="H15" s="1">
        <v>200</v>
      </c>
      <c r="I15" s="1">
        <v>1.2</v>
      </c>
      <c r="J15" s="1">
        <f>Table1[[#This Row],[QUANTITY]]*Table1[[#This Row],[PRICE(INR)]]</f>
        <v>240</v>
      </c>
      <c r="K15" s="1" t="s">
        <v>205</v>
      </c>
      <c r="L15" s="1" t="s">
        <v>236</v>
      </c>
      <c r="M15" s="1" t="s">
        <v>358</v>
      </c>
    </row>
    <row r="16" spans="1:13" x14ac:dyDescent="0.25">
      <c r="A16" s="1" t="s">
        <v>242</v>
      </c>
      <c r="B16" s="1" t="s">
        <v>249</v>
      </c>
      <c r="C16" s="1" t="s">
        <v>23</v>
      </c>
      <c r="D16" s="1" t="s">
        <v>79</v>
      </c>
      <c r="E16" s="1" t="s">
        <v>81</v>
      </c>
      <c r="F16" s="1" t="s">
        <v>95</v>
      </c>
      <c r="G16" s="1" t="s">
        <v>142</v>
      </c>
      <c r="H16" s="1">
        <v>100</v>
      </c>
      <c r="I16" s="1">
        <v>0.5</v>
      </c>
      <c r="J16" s="1">
        <f>Table1[[#This Row],[QUANTITY]]*Table1[[#This Row],[PRICE(INR)]]</f>
        <v>50</v>
      </c>
      <c r="K16" s="1" t="s">
        <v>195</v>
      </c>
      <c r="L16" s="1" t="s">
        <v>237</v>
      </c>
      <c r="M16" s="1" t="s">
        <v>358</v>
      </c>
    </row>
    <row r="17" spans="1:13" x14ac:dyDescent="0.25">
      <c r="A17" s="1" t="s">
        <v>243</v>
      </c>
      <c r="B17" s="1" t="s">
        <v>262</v>
      </c>
      <c r="C17" s="1" t="s">
        <v>24</v>
      </c>
      <c r="D17" s="1" t="s">
        <v>80</v>
      </c>
      <c r="E17" s="1" t="s">
        <v>83</v>
      </c>
      <c r="F17" s="1" t="s">
        <v>94</v>
      </c>
      <c r="G17" s="1" t="s">
        <v>140</v>
      </c>
      <c r="H17" s="1">
        <v>32</v>
      </c>
      <c r="I17" s="1">
        <v>2.5</v>
      </c>
      <c r="J17" s="1">
        <f>Table1[[#This Row],[QUANTITY]]*Table1[[#This Row],[PRICE(INR)]]</f>
        <v>80</v>
      </c>
      <c r="K17" s="1" t="s">
        <v>195</v>
      </c>
      <c r="L17" s="1" t="s">
        <v>238</v>
      </c>
      <c r="M17" s="1" t="s">
        <v>358</v>
      </c>
    </row>
    <row r="18" spans="1:13" x14ac:dyDescent="0.25">
      <c r="A18" s="8" t="s">
        <v>244</v>
      </c>
      <c r="B18" s="1" t="s">
        <v>263</v>
      </c>
      <c r="C18" s="1" t="s">
        <v>25</v>
      </c>
      <c r="D18" s="1" t="s">
        <v>79</v>
      </c>
      <c r="E18" s="1" t="s">
        <v>83</v>
      </c>
      <c r="F18" s="1" t="s">
        <v>94</v>
      </c>
      <c r="G18" s="1" t="s">
        <v>140</v>
      </c>
      <c r="H18" s="1">
        <v>69</v>
      </c>
      <c r="I18" s="1">
        <v>2.5</v>
      </c>
      <c r="J18" s="1">
        <f>Table1[[#This Row],[QUANTITY]]*Table1[[#This Row],[PRICE(INR)]]</f>
        <v>172.5</v>
      </c>
      <c r="K18" s="1" t="s">
        <v>206</v>
      </c>
      <c r="L18" s="1" t="s">
        <v>239</v>
      </c>
      <c r="M18" s="1" t="s">
        <v>358</v>
      </c>
    </row>
    <row r="19" spans="1:13" x14ac:dyDescent="0.25">
      <c r="A19" s="8">
        <v>45599</v>
      </c>
      <c r="B19" s="1" t="s">
        <v>254</v>
      </c>
      <c r="C19" s="1" t="s">
        <v>26</v>
      </c>
      <c r="D19" s="1" t="s">
        <v>80</v>
      </c>
      <c r="E19" s="1" t="s">
        <v>82</v>
      </c>
      <c r="F19" s="1" t="s">
        <v>96</v>
      </c>
      <c r="G19" s="1" t="s">
        <v>143</v>
      </c>
      <c r="H19" s="1">
        <v>200</v>
      </c>
      <c r="I19" s="1">
        <v>3.2</v>
      </c>
      <c r="J19" s="1">
        <f>Table1[[#This Row],[QUANTITY]]*Table1[[#This Row],[PRICE(INR)]]</f>
        <v>640</v>
      </c>
      <c r="K19" s="1" t="s">
        <v>207</v>
      </c>
      <c r="L19" s="1" t="s">
        <v>236</v>
      </c>
      <c r="M19" s="1" t="s">
        <v>359</v>
      </c>
    </row>
    <row r="20" spans="1:13" x14ac:dyDescent="0.25">
      <c r="A20" s="8">
        <v>45629</v>
      </c>
      <c r="B20" s="1" t="s">
        <v>264</v>
      </c>
      <c r="C20" s="1" t="s">
        <v>27</v>
      </c>
      <c r="D20" s="1" t="s">
        <v>80</v>
      </c>
      <c r="E20" s="1" t="s">
        <v>82</v>
      </c>
      <c r="F20" s="1" t="s">
        <v>87</v>
      </c>
      <c r="G20" s="1" t="s">
        <v>133</v>
      </c>
      <c r="H20" s="1">
        <v>200</v>
      </c>
      <c r="I20" s="1">
        <v>2</v>
      </c>
      <c r="J20" s="1">
        <f>Table1[[#This Row],[QUANTITY]]*Table1[[#This Row],[PRICE(INR)]]</f>
        <v>400</v>
      </c>
      <c r="K20" s="1" t="s">
        <v>208</v>
      </c>
      <c r="L20" s="1" t="s">
        <v>237</v>
      </c>
      <c r="M20" s="1" t="s">
        <v>359</v>
      </c>
    </row>
    <row r="21" spans="1:13" x14ac:dyDescent="0.25">
      <c r="A21" s="1" t="s">
        <v>307</v>
      </c>
      <c r="B21" s="1" t="s">
        <v>265</v>
      </c>
      <c r="C21" s="1" t="s">
        <v>28</v>
      </c>
      <c r="D21" s="1" t="s">
        <v>79</v>
      </c>
      <c r="E21" s="1" t="s">
        <v>82</v>
      </c>
      <c r="F21" s="1" t="s">
        <v>97</v>
      </c>
      <c r="G21" s="1" t="s">
        <v>144</v>
      </c>
      <c r="H21" s="1">
        <v>300</v>
      </c>
      <c r="I21" s="1">
        <v>4.2</v>
      </c>
      <c r="J21" s="1">
        <f>Table1[[#This Row],[QUANTITY]]*Table1[[#This Row],[PRICE(INR)]]</f>
        <v>1260</v>
      </c>
      <c r="K21" s="1" t="s">
        <v>208</v>
      </c>
      <c r="L21" s="1" t="s">
        <v>239</v>
      </c>
      <c r="M21" s="1" t="s">
        <v>359</v>
      </c>
    </row>
    <row r="22" spans="1:13" x14ac:dyDescent="0.25">
      <c r="A22" s="1" t="s">
        <v>308</v>
      </c>
      <c r="B22" s="1" t="s">
        <v>245</v>
      </c>
      <c r="C22" s="1" t="s">
        <v>11</v>
      </c>
      <c r="D22" s="1" t="s">
        <v>79</v>
      </c>
      <c r="E22" s="1" t="s">
        <v>81</v>
      </c>
      <c r="F22" s="1" t="s">
        <v>98</v>
      </c>
      <c r="G22" s="1" t="s">
        <v>145</v>
      </c>
      <c r="H22" s="1">
        <v>40</v>
      </c>
      <c r="I22" s="1">
        <v>3.6</v>
      </c>
      <c r="J22" s="1">
        <f>Table1[[#This Row],[QUANTITY]]*Table1[[#This Row],[PRICE(INR)]]</f>
        <v>144</v>
      </c>
      <c r="K22" s="1" t="s">
        <v>209</v>
      </c>
      <c r="L22" s="1" t="s">
        <v>238</v>
      </c>
      <c r="M22" s="1" t="s">
        <v>359</v>
      </c>
    </row>
    <row r="23" spans="1:13" x14ac:dyDescent="0.25">
      <c r="A23" s="1" t="s">
        <v>309</v>
      </c>
      <c r="B23" s="1" t="s">
        <v>256</v>
      </c>
      <c r="C23" s="1" t="s">
        <v>12</v>
      </c>
      <c r="D23" s="1" t="s">
        <v>79</v>
      </c>
      <c r="E23" s="1" t="s">
        <v>82</v>
      </c>
      <c r="F23" s="1" t="s">
        <v>99</v>
      </c>
      <c r="G23" s="1" t="s">
        <v>146</v>
      </c>
      <c r="H23" s="1">
        <v>30</v>
      </c>
      <c r="I23" s="1">
        <v>2</v>
      </c>
      <c r="J23" s="1">
        <f>Table1[[#This Row],[QUANTITY]]*Table1[[#This Row],[PRICE(INR)]]</f>
        <v>60</v>
      </c>
      <c r="K23" s="1" t="s">
        <v>195</v>
      </c>
      <c r="L23" s="1" t="s">
        <v>236</v>
      </c>
      <c r="M23" s="1" t="s">
        <v>359</v>
      </c>
    </row>
    <row r="24" spans="1:13" x14ac:dyDescent="0.25">
      <c r="A24" s="1" t="s">
        <v>310</v>
      </c>
      <c r="B24" s="1" t="s">
        <v>261</v>
      </c>
      <c r="C24" s="1" t="s">
        <v>29</v>
      </c>
      <c r="D24" s="1" t="s">
        <v>79</v>
      </c>
      <c r="E24" s="1" t="s">
        <v>83</v>
      </c>
      <c r="F24" s="1" t="s">
        <v>84</v>
      </c>
      <c r="G24" s="1" t="s">
        <v>130</v>
      </c>
      <c r="H24" s="1">
        <v>100</v>
      </c>
      <c r="I24" s="1">
        <v>1.2</v>
      </c>
      <c r="J24" s="1">
        <f>Table1[[#This Row],[QUANTITY]]*Table1[[#This Row],[PRICE(INR)]]</f>
        <v>120</v>
      </c>
      <c r="K24" s="1" t="s">
        <v>208</v>
      </c>
      <c r="L24" s="1" t="s">
        <v>237</v>
      </c>
      <c r="M24" s="1" t="s">
        <v>359</v>
      </c>
    </row>
    <row r="25" spans="1:13" x14ac:dyDescent="0.25">
      <c r="A25" s="1" t="s">
        <v>311</v>
      </c>
      <c r="B25" s="1" t="s">
        <v>258</v>
      </c>
      <c r="C25" s="1" t="s">
        <v>15</v>
      </c>
      <c r="D25" s="1" t="s">
        <v>79</v>
      </c>
      <c r="E25" s="1" t="s">
        <v>82</v>
      </c>
      <c r="F25" s="1" t="s">
        <v>84</v>
      </c>
      <c r="G25" s="1" t="s">
        <v>130</v>
      </c>
      <c r="H25" s="1">
        <v>100</v>
      </c>
      <c r="I25" s="1">
        <v>1.2</v>
      </c>
      <c r="J25" s="1">
        <f>Table1[[#This Row],[QUANTITY]]*Table1[[#This Row],[PRICE(INR)]]</f>
        <v>120</v>
      </c>
      <c r="K25" s="1" t="s">
        <v>210</v>
      </c>
      <c r="L25" s="1" t="s">
        <v>239</v>
      </c>
      <c r="M25" s="1" t="s">
        <v>359</v>
      </c>
    </row>
    <row r="26" spans="1:13" x14ac:dyDescent="0.25">
      <c r="A26" s="8">
        <v>45295</v>
      </c>
      <c r="B26" s="1" t="s">
        <v>247</v>
      </c>
      <c r="C26" s="1" t="s">
        <v>16</v>
      </c>
      <c r="D26" s="1" t="s">
        <v>80</v>
      </c>
      <c r="E26" s="1" t="s">
        <v>82</v>
      </c>
      <c r="F26" s="1" t="s">
        <v>100</v>
      </c>
      <c r="G26" s="1" t="s">
        <v>147</v>
      </c>
      <c r="H26" s="1">
        <v>200</v>
      </c>
      <c r="I26" s="1">
        <v>1.6</v>
      </c>
      <c r="J26" s="1">
        <f>Table1[[#This Row],[QUANTITY]]*Table1[[#This Row],[PRICE(INR)]]</f>
        <v>320</v>
      </c>
      <c r="K26" s="1" t="s">
        <v>193</v>
      </c>
      <c r="L26" s="1" t="s">
        <v>238</v>
      </c>
      <c r="M26" s="1" t="s">
        <v>360</v>
      </c>
    </row>
    <row r="27" spans="1:13" x14ac:dyDescent="0.25">
      <c r="A27" s="8">
        <v>45326</v>
      </c>
      <c r="B27" s="1" t="s">
        <v>259</v>
      </c>
      <c r="C27" s="1" t="s">
        <v>17</v>
      </c>
      <c r="D27" s="1" t="s">
        <v>80</v>
      </c>
      <c r="E27" s="1" t="s">
        <v>81</v>
      </c>
      <c r="F27" s="1" t="s">
        <v>101</v>
      </c>
      <c r="G27" s="1" t="s">
        <v>148</v>
      </c>
      <c r="H27" s="1">
        <v>80</v>
      </c>
      <c r="I27" s="1">
        <v>3</v>
      </c>
      <c r="J27" s="1">
        <f>Table1[[#This Row],[QUANTITY]]*Table1[[#This Row],[PRICE(INR)]]</f>
        <v>240</v>
      </c>
      <c r="K27" s="1" t="s">
        <v>194</v>
      </c>
      <c r="L27" s="1" t="s">
        <v>238</v>
      </c>
      <c r="M27" s="1" t="s">
        <v>360</v>
      </c>
    </row>
    <row r="28" spans="1:13" x14ac:dyDescent="0.25">
      <c r="A28" s="8">
        <v>45355</v>
      </c>
      <c r="B28" s="1" t="s">
        <v>249</v>
      </c>
      <c r="C28" s="1" t="s">
        <v>30</v>
      </c>
      <c r="D28" s="1" t="s">
        <v>79</v>
      </c>
      <c r="E28" s="1" t="s">
        <v>83</v>
      </c>
      <c r="F28" s="1" t="s">
        <v>85</v>
      </c>
      <c r="G28" s="1" t="s">
        <v>149</v>
      </c>
      <c r="H28" s="1">
        <v>70</v>
      </c>
      <c r="I28" s="1">
        <v>5</v>
      </c>
      <c r="J28" s="1">
        <f>Table1[[#This Row],[QUANTITY]]*Table1[[#This Row],[PRICE(INR)]]</f>
        <v>350</v>
      </c>
      <c r="K28" s="1" t="s">
        <v>211</v>
      </c>
      <c r="L28" s="1" t="s">
        <v>238</v>
      </c>
      <c r="M28" s="1" t="s">
        <v>360</v>
      </c>
    </row>
    <row r="29" spans="1:13" x14ac:dyDescent="0.25">
      <c r="A29" s="8">
        <v>45386</v>
      </c>
      <c r="B29" s="1" t="s">
        <v>262</v>
      </c>
      <c r="C29" s="1" t="s">
        <v>31</v>
      </c>
      <c r="D29" s="1" t="s">
        <v>80</v>
      </c>
      <c r="E29" s="1" t="s">
        <v>83</v>
      </c>
      <c r="F29" s="1" t="s">
        <v>94</v>
      </c>
      <c r="G29" s="1" t="s">
        <v>140</v>
      </c>
      <c r="H29" s="1">
        <v>15</v>
      </c>
      <c r="I29" s="1">
        <v>2.5</v>
      </c>
      <c r="J29" s="1">
        <f>Table1[[#This Row],[QUANTITY]]*Table1[[#This Row],[PRICE(INR)]]</f>
        <v>37.5</v>
      </c>
      <c r="K29" s="1" t="s">
        <v>208</v>
      </c>
      <c r="L29" s="1" t="s">
        <v>239</v>
      </c>
      <c r="M29" s="1" t="s">
        <v>360</v>
      </c>
    </row>
    <row r="30" spans="1:13" x14ac:dyDescent="0.25">
      <c r="A30" s="8">
        <v>45416</v>
      </c>
      <c r="B30" s="1" t="s">
        <v>253</v>
      </c>
      <c r="C30" s="1" t="s">
        <v>14</v>
      </c>
      <c r="D30" s="1" t="s">
        <v>80</v>
      </c>
      <c r="E30" s="1" t="s">
        <v>82</v>
      </c>
      <c r="F30" s="1" t="s">
        <v>95</v>
      </c>
      <c r="G30" s="1" t="s">
        <v>142</v>
      </c>
      <c r="H30" s="1">
        <v>800</v>
      </c>
      <c r="I30" s="1">
        <v>0.5</v>
      </c>
      <c r="J30" s="1">
        <f>Table1[[#This Row],[QUANTITY]]*Table1[[#This Row],[PRICE(INR)]]</f>
        <v>400</v>
      </c>
      <c r="K30" s="1" t="s">
        <v>212</v>
      </c>
      <c r="L30" s="1" t="s">
        <v>239</v>
      </c>
      <c r="M30" s="1" t="s">
        <v>360</v>
      </c>
    </row>
    <row r="31" spans="1:13" x14ac:dyDescent="0.25">
      <c r="A31" s="8">
        <v>45447</v>
      </c>
      <c r="B31" s="1" t="s">
        <v>251</v>
      </c>
      <c r="C31" s="1" t="s">
        <v>19</v>
      </c>
      <c r="D31" s="1" t="s">
        <v>80</v>
      </c>
      <c r="E31" s="1" t="s">
        <v>82</v>
      </c>
      <c r="F31" s="1" t="s">
        <v>102</v>
      </c>
      <c r="G31" s="1" t="s">
        <v>150</v>
      </c>
      <c r="H31" s="1">
        <v>901</v>
      </c>
      <c r="I31" s="1">
        <v>2</v>
      </c>
      <c r="J31" s="1">
        <f>Table1[[#This Row],[QUANTITY]]*Table1[[#This Row],[PRICE(INR)]]</f>
        <v>1802</v>
      </c>
      <c r="K31" s="1" t="s">
        <v>213</v>
      </c>
      <c r="L31" s="1" t="s">
        <v>236</v>
      </c>
      <c r="M31" s="1" t="s">
        <v>360</v>
      </c>
    </row>
    <row r="32" spans="1:13" x14ac:dyDescent="0.25">
      <c r="A32" s="8">
        <v>45477</v>
      </c>
      <c r="B32" s="1" t="s">
        <v>263</v>
      </c>
      <c r="C32" s="1" t="s">
        <v>32</v>
      </c>
      <c r="D32" s="1" t="s">
        <v>79</v>
      </c>
      <c r="E32" s="1" t="s">
        <v>81</v>
      </c>
      <c r="F32" s="1" t="s">
        <v>103</v>
      </c>
      <c r="G32" s="1" t="s">
        <v>151</v>
      </c>
      <c r="H32" s="1">
        <v>206</v>
      </c>
      <c r="I32" s="1">
        <v>6</v>
      </c>
      <c r="J32" s="1">
        <f>Table1[[#This Row],[QUANTITY]]*Table1[[#This Row],[PRICE(INR)]]</f>
        <v>1236</v>
      </c>
      <c r="K32" s="1" t="s">
        <v>214</v>
      </c>
      <c r="L32" s="1" t="s">
        <v>237</v>
      </c>
      <c r="M32" s="1" t="s">
        <v>360</v>
      </c>
    </row>
    <row r="33" spans="1:13" x14ac:dyDescent="0.25">
      <c r="A33" s="8">
        <v>45508</v>
      </c>
      <c r="B33" s="1" t="s">
        <v>254</v>
      </c>
      <c r="C33" s="1" t="s">
        <v>33</v>
      </c>
      <c r="D33" s="1" t="s">
        <v>80</v>
      </c>
      <c r="E33" s="1" t="s">
        <v>82</v>
      </c>
      <c r="F33" s="1" t="s">
        <v>104</v>
      </c>
      <c r="G33" s="1" t="s">
        <v>154</v>
      </c>
      <c r="H33" s="1">
        <v>209</v>
      </c>
      <c r="I33" s="1">
        <v>2.1</v>
      </c>
      <c r="J33" s="1">
        <f>Table1[[#This Row],[QUANTITY]]*Table1[[#This Row],[PRICE(INR)]]</f>
        <v>438.90000000000003</v>
      </c>
      <c r="K33" s="1" t="s">
        <v>198</v>
      </c>
      <c r="L33" s="1" t="s">
        <v>239</v>
      </c>
      <c r="M33" s="1" t="s">
        <v>360</v>
      </c>
    </row>
    <row r="34" spans="1:13" x14ac:dyDescent="0.25">
      <c r="A34" s="8">
        <v>45600</v>
      </c>
      <c r="B34" s="1" t="s">
        <v>253</v>
      </c>
      <c r="C34" s="1" t="s">
        <v>14</v>
      </c>
      <c r="D34" s="1" t="s">
        <v>80</v>
      </c>
      <c r="E34" s="1" t="s">
        <v>82</v>
      </c>
      <c r="F34" s="1" t="s">
        <v>86</v>
      </c>
      <c r="G34" s="1" t="s">
        <v>155</v>
      </c>
      <c r="H34" s="1">
        <v>600</v>
      </c>
      <c r="I34" s="1">
        <v>3</v>
      </c>
      <c r="J34" s="1">
        <f>Table1[[#This Row],[QUANTITY]]*Table1[[#This Row],[PRICE(INR)]]</f>
        <v>1800</v>
      </c>
      <c r="K34" s="1" t="s">
        <v>208</v>
      </c>
      <c r="L34" s="1" t="s">
        <v>238</v>
      </c>
      <c r="M34" s="1" t="s">
        <v>360</v>
      </c>
    </row>
    <row r="35" spans="1:13" x14ac:dyDescent="0.25">
      <c r="A35" s="1" t="s">
        <v>312</v>
      </c>
      <c r="B35" s="1" t="s">
        <v>245</v>
      </c>
      <c r="C35" s="1" t="s">
        <v>11</v>
      </c>
      <c r="D35" s="1" t="s">
        <v>79</v>
      </c>
      <c r="E35" s="1" t="s">
        <v>81</v>
      </c>
      <c r="F35" s="1" t="s">
        <v>105</v>
      </c>
      <c r="G35" s="1" t="s">
        <v>156</v>
      </c>
      <c r="H35" s="1">
        <v>211</v>
      </c>
      <c r="I35" s="1">
        <v>1.2</v>
      </c>
      <c r="J35" s="1">
        <f>Table1[[#This Row],[QUANTITY]]*Table1[[#This Row],[PRICE(INR)]]</f>
        <v>253.2</v>
      </c>
      <c r="K35" s="1" t="s">
        <v>215</v>
      </c>
      <c r="L35" s="1" t="s">
        <v>236</v>
      </c>
      <c r="M35" s="1" t="s">
        <v>360</v>
      </c>
    </row>
    <row r="36" spans="1:13" x14ac:dyDescent="0.25">
      <c r="A36" s="1" t="s">
        <v>313</v>
      </c>
      <c r="B36" s="1" t="s">
        <v>266</v>
      </c>
      <c r="C36" s="1" t="s">
        <v>13</v>
      </c>
      <c r="D36" s="1" t="s">
        <v>79</v>
      </c>
      <c r="E36" s="1" t="s">
        <v>83</v>
      </c>
      <c r="F36" s="1" t="s">
        <v>106</v>
      </c>
      <c r="G36" s="1" t="s">
        <v>164</v>
      </c>
      <c r="H36" s="1">
        <v>243</v>
      </c>
      <c r="I36" s="1">
        <v>1.5</v>
      </c>
      <c r="J36" s="1">
        <f>Table1[[#This Row],[QUANTITY]]*Table1[[#This Row],[PRICE(INR)]]</f>
        <v>364.5</v>
      </c>
      <c r="K36" s="1" t="s">
        <v>208</v>
      </c>
      <c r="L36" s="1" t="s">
        <v>236</v>
      </c>
      <c r="M36" s="1" t="s">
        <v>360</v>
      </c>
    </row>
    <row r="37" spans="1:13" x14ac:dyDescent="0.25">
      <c r="A37" s="1" t="s">
        <v>314</v>
      </c>
      <c r="B37" s="1" t="s">
        <v>256</v>
      </c>
      <c r="C37" s="1" t="s">
        <v>12</v>
      </c>
      <c r="D37" s="1" t="s">
        <v>79</v>
      </c>
      <c r="E37" s="1" t="s">
        <v>82</v>
      </c>
      <c r="F37" s="1" t="s">
        <v>107</v>
      </c>
      <c r="G37" s="1" t="s">
        <v>165</v>
      </c>
      <c r="H37" s="1">
        <v>99</v>
      </c>
      <c r="I37" s="1">
        <v>0.6</v>
      </c>
      <c r="J37" s="1">
        <f>Table1[[#This Row],[QUANTITY]]*Table1[[#This Row],[PRICE(INR)]]</f>
        <v>59.4</v>
      </c>
      <c r="K37" s="1" t="s">
        <v>193</v>
      </c>
      <c r="L37" s="1" t="s">
        <v>236</v>
      </c>
      <c r="M37" s="1" t="s">
        <v>360</v>
      </c>
    </row>
    <row r="38" spans="1:13" x14ac:dyDescent="0.25">
      <c r="A38" s="1" t="s">
        <v>315</v>
      </c>
      <c r="B38" s="1" t="s">
        <v>258</v>
      </c>
      <c r="C38" s="1" t="s">
        <v>15</v>
      </c>
      <c r="D38" s="1" t="s">
        <v>79</v>
      </c>
      <c r="E38" s="1" t="s">
        <v>82</v>
      </c>
      <c r="F38" s="1" t="s">
        <v>108</v>
      </c>
      <c r="G38" s="1" t="s">
        <v>166</v>
      </c>
      <c r="H38" s="1">
        <v>100</v>
      </c>
      <c r="I38" s="1">
        <v>0.8</v>
      </c>
      <c r="J38" s="1">
        <f>Table1[[#This Row],[QUANTITY]]*Table1[[#This Row],[PRICE(INR)]]</f>
        <v>80</v>
      </c>
      <c r="K38" s="1" t="s">
        <v>194</v>
      </c>
      <c r="L38" s="1" t="s">
        <v>238</v>
      </c>
      <c r="M38" s="1" t="s">
        <v>360</v>
      </c>
    </row>
    <row r="39" spans="1:13" x14ac:dyDescent="0.25">
      <c r="A39" s="1" t="s">
        <v>316</v>
      </c>
      <c r="B39" s="1" t="s">
        <v>264</v>
      </c>
      <c r="C39" s="1" t="s">
        <v>34</v>
      </c>
      <c r="D39" s="1" t="s">
        <v>80</v>
      </c>
      <c r="E39" s="1" t="s">
        <v>82</v>
      </c>
      <c r="F39" s="1" t="s">
        <v>93</v>
      </c>
      <c r="G39" s="1" t="s">
        <v>139</v>
      </c>
      <c r="H39" s="1">
        <v>708</v>
      </c>
      <c r="I39" s="1">
        <v>2</v>
      </c>
      <c r="J39" s="1">
        <f>Table1[[#This Row],[QUANTITY]]*Table1[[#This Row],[PRICE(INR)]]</f>
        <v>1416</v>
      </c>
      <c r="K39" s="1" t="s">
        <v>207</v>
      </c>
      <c r="L39" s="1" t="s">
        <v>238</v>
      </c>
      <c r="M39" s="1" t="s">
        <v>360</v>
      </c>
    </row>
    <row r="40" spans="1:13" x14ac:dyDescent="0.25">
      <c r="A40" s="1" t="s">
        <v>317</v>
      </c>
      <c r="B40" s="1" t="s">
        <v>265</v>
      </c>
      <c r="C40" s="1" t="s">
        <v>35</v>
      </c>
      <c r="D40" s="1" t="s">
        <v>80</v>
      </c>
      <c r="E40" s="1" t="s">
        <v>83</v>
      </c>
      <c r="F40" s="1" t="s">
        <v>109</v>
      </c>
      <c r="G40" s="1" t="s">
        <v>167</v>
      </c>
      <c r="H40" s="1">
        <v>607</v>
      </c>
      <c r="I40" s="1">
        <v>1.6</v>
      </c>
      <c r="J40" s="1">
        <f>Table1[[#This Row],[QUANTITY]]*Table1[[#This Row],[PRICE(INR)]]</f>
        <v>971.2</v>
      </c>
      <c r="K40" s="1" t="s">
        <v>216</v>
      </c>
      <c r="L40" s="1" t="s">
        <v>237</v>
      </c>
      <c r="M40" s="1" t="s">
        <v>360</v>
      </c>
    </row>
    <row r="41" spans="1:13" x14ac:dyDescent="0.25">
      <c r="A41" s="8">
        <v>45296</v>
      </c>
      <c r="B41" s="1" t="s">
        <v>255</v>
      </c>
      <c r="C41" s="1" t="s">
        <v>36</v>
      </c>
      <c r="D41" s="1" t="s">
        <v>80</v>
      </c>
      <c r="E41" s="1" t="s">
        <v>82</v>
      </c>
      <c r="F41" s="1" t="s">
        <v>110</v>
      </c>
      <c r="G41" s="1" t="s">
        <v>168</v>
      </c>
      <c r="H41" s="1">
        <v>302</v>
      </c>
      <c r="I41" s="1">
        <v>1.4</v>
      </c>
      <c r="J41" s="1">
        <f>Table1[[#This Row],[QUANTITY]]*Table1[[#This Row],[PRICE(INR)]]</f>
        <v>422.79999999999995</v>
      </c>
      <c r="K41" s="1" t="s">
        <v>217</v>
      </c>
      <c r="L41" s="1" t="s">
        <v>239</v>
      </c>
      <c r="M41" s="1" t="s">
        <v>361</v>
      </c>
    </row>
    <row r="42" spans="1:13" x14ac:dyDescent="0.25">
      <c r="A42" s="8">
        <v>45327</v>
      </c>
      <c r="B42" s="1" t="s">
        <v>267</v>
      </c>
      <c r="C42" s="1" t="s">
        <v>37</v>
      </c>
      <c r="D42" s="1" t="s">
        <v>80</v>
      </c>
      <c r="E42" s="1" t="s">
        <v>81</v>
      </c>
      <c r="F42" s="1" t="s">
        <v>90</v>
      </c>
      <c r="G42" s="1" t="s">
        <v>169</v>
      </c>
      <c r="H42" s="1">
        <v>809</v>
      </c>
      <c r="I42" s="1">
        <v>1.6</v>
      </c>
      <c r="J42" s="1">
        <f>Table1[[#This Row],[QUANTITY]]*Table1[[#This Row],[PRICE(INR)]]</f>
        <v>1294.4000000000001</v>
      </c>
      <c r="K42" s="1" t="s">
        <v>195</v>
      </c>
      <c r="L42" s="1" t="s">
        <v>237</v>
      </c>
      <c r="M42" s="1" t="s">
        <v>361</v>
      </c>
    </row>
    <row r="43" spans="1:13" x14ac:dyDescent="0.25">
      <c r="A43" s="8">
        <v>45356</v>
      </c>
      <c r="B43" s="1" t="s">
        <v>268</v>
      </c>
      <c r="C43" s="1" t="s">
        <v>38</v>
      </c>
      <c r="D43" s="1" t="s">
        <v>80</v>
      </c>
      <c r="E43" s="1" t="s">
        <v>82</v>
      </c>
      <c r="F43" s="1" t="s">
        <v>84</v>
      </c>
      <c r="G43" s="1" t="s">
        <v>130</v>
      </c>
      <c r="H43" s="1">
        <v>100</v>
      </c>
      <c r="I43" s="1">
        <v>1.2</v>
      </c>
      <c r="J43" s="1">
        <f>Table1[[#This Row],[QUANTITY]]*Table1[[#This Row],[PRICE(INR)]]</f>
        <v>120</v>
      </c>
      <c r="K43" s="1" t="s">
        <v>194</v>
      </c>
      <c r="L43" s="1" t="s">
        <v>238</v>
      </c>
      <c r="M43" s="1" t="s">
        <v>361</v>
      </c>
    </row>
    <row r="44" spans="1:13" x14ac:dyDescent="0.25">
      <c r="A44" s="8">
        <v>45387</v>
      </c>
      <c r="B44" s="1" t="s">
        <v>269</v>
      </c>
      <c r="C44" s="1" t="s">
        <v>39</v>
      </c>
      <c r="D44" s="1" t="s">
        <v>80</v>
      </c>
      <c r="E44" s="1" t="s">
        <v>82</v>
      </c>
      <c r="F44" s="1" t="s">
        <v>96</v>
      </c>
      <c r="G44" s="1" t="s">
        <v>170</v>
      </c>
      <c r="H44" s="1">
        <v>50</v>
      </c>
      <c r="I44" s="1">
        <v>3</v>
      </c>
      <c r="J44" s="1">
        <f>Table1[[#This Row],[QUANTITY]]*Table1[[#This Row],[PRICE(INR)]]</f>
        <v>150</v>
      </c>
      <c r="K44" s="1" t="s">
        <v>208</v>
      </c>
      <c r="L44" s="1" t="s">
        <v>239</v>
      </c>
      <c r="M44" s="1" t="s">
        <v>361</v>
      </c>
    </row>
    <row r="45" spans="1:13" x14ac:dyDescent="0.25">
      <c r="A45" s="8">
        <v>45417</v>
      </c>
      <c r="B45" s="1" t="s">
        <v>270</v>
      </c>
      <c r="C45" s="1" t="s">
        <v>40</v>
      </c>
      <c r="D45" s="1" t="s">
        <v>80</v>
      </c>
      <c r="E45" s="1" t="s">
        <v>82</v>
      </c>
      <c r="F45" s="1" t="s">
        <v>94</v>
      </c>
      <c r="G45" s="1" t="s">
        <v>140</v>
      </c>
      <c r="H45" s="1">
        <v>87</v>
      </c>
      <c r="I45" s="1">
        <v>2.5</v>
      </c>
      <c r="J45" s="1">
        <f>Table1[[#This Row],[QUANTITY]]*Table1[[#This Row],[PRICE(INR)]]</f>
        <v>217.5</v>
      </c>
      <c r="K45" s="1" t="s">
        <v>215</v>
      </c>
      <c r="L45" s="1" t="s">
        <v>236</v>
      </c>
      <c r="M45" s="1" t="s">
        <v>361</v>
      </c>
    </row>
    <row r="46" spans="1:13" x14ac:dyDescent="0.25">
      <c r="A46" s="8">
        <v>45448</v>
      </c>
      <c r="B46" s="1" t="s">
        <v>250</v>
      </c>
      <c r="C46" s="1" t="s">
        <v>41</v>
      </c>
      <c r="D46" s="1" t="s">
        <v>80</v>
      </c>
      <c r="E46" s="1" t="s">
        <v>81</v>
      </c>
      <c r="F46" s="1" t="s">
        <v>84</v>
      </c>
      <c r="G46" s="1" t="s">
        <v>130</v>
      </c>
      <c r="H46" s="1">
        <v>214</v>
      </c>
      <c r="I46" s="1">
        <v>1.2</v>
      </c>
      <c r="J46" s="1">
        <f>Table1[[#This Row],[QUANTITY]]*Table1[[#This Row],[PRICE(INR)]]</f>
        <v>256.8</v>
      </c>
      <c r="K46" s="1" t="s">
        <v>193</v>
      </c>
      <c r="L46" s="1" t="s">
        <v>238</v>
      </c>
      <c r="M46" s="1" t="s">
        <v>361</v>
      </c>
    </row>
    <row r="47" spans="1:13" x14ac:dyDescent="0.25">
      <c r="A47" s="8">
        <v>45478</v>
      </c>
      <c r="B47" s="1" t="s">
        <v>245</v>
      </c>
      <c r="C47" s="1" t="s">
        <v>11</v>
      </c>
      <c r="D47" s="1" t="s">
        <v>79</v>
      </c>
      <c r="E47" s="1" t="s">
        <v>81</v>
      </c>
      <c r="F47" s="1" t="s">
        <v>105</v>
      </c>
      <c r="G47" s="1" t="s">
        <v>156</v>
      </c>
      <c r="H47" s="1">
        <v>54</v>
      </c>
      <c r="I47" s="1">
        <v>2</v>
      </c>
      <c r="J47" s="1">
        <f>Table1[[#This Row],[QUANTITY]]*Table1[[#This Row],[PRICE(INR)]]</f>
        <v>108</v>
      </c>
      <c r="K47" s="1" t="s">
        <v>210</v>
      </c>
      <c r="L47" s="1" t="s">
        <v>237</v>
      </c>
      <c r="M47" s="1" t="s">
        <v>361</v>
      </c>
    </row>
    <row r="48" spans="1:13" x14ac:dyDescent="0.25">
      <c r="A48" s="8">
        <v>45601</v>
      </c>
      <c r="B48" s="1" t="s">
        <v>259</v>
      </c>
      <c r="C48" s="1" t="s">
        <v>17</v>
      </c>
      <c r="D48" s="1" t="s">
        <v>80</v>
      </c>
      <c r="E48" s="1" t="s">
        <v>81</v>
      </c>
      <c r="F48" s="1" t="s">
        <v>111</v>
      </c>
      <c r="G48" s="1" t="s">
        <v>171</v>
      </c>
      <c r="H48" s="1">
        <v>65</v>
      </c>
      <c r="I48" s="1">
        <v>3</v>
      </c>
      <c r="J48" s="1">
        <f>Table1[[#This Row],[QUANTITY]]*Table1[[#This Row],[PRICE(INR)]]</f>
        <v>195</v>
      </c>
      <c r="K48" s="1" t="s">
        <v>195</v>
      </c>
      <c r="L48" s="1" t="s">
        <v>236</v>
      </c>
      <c r="M48" s="1" t="s">
        <v>361</v>
      </c>
    </row>
    <row r="49" spans="1:13" x14ac:dyDescent="0.25">
      <c r="A49" s="8">
        <v>45631</v>
      </c>
      <c r="B49" s="1" t="s">
        <v>263</v>
      </c>
      <c r="C49" s="1" t="s">
        <v>25</v>
      </c>
      <c r="D49" s="1" t="s">
        <v>79</v>
      </c>
      <c r="E49" s="1" t="s">
        <v>82</v>
      </c>
      <c r="F49" s="1" t="s">
        <v>112</v>
      </c>
      <c r="G49" s="1" t="s">
        <v>172</v>
      </c>
      <c r="H49" s="1">
        <v>54</v>
      </c>
      <c r="I49" s="1">
        <v>4</v>
      </c>
      <c r="J49" s="1">
        <f>Table1[[#This Row],[QUANTITY]]*Table1[[#This Row],[PRICE(INR)]]</f>
        <v>216</v>
      </c>
      <c r="K49" s="1" t="s">
        <v>218</v>
      </c>
      <c r="L49" s="1" t="s">
        <v>238</v>
      </c>
      <c r="M49" s="1" t="s">
        <v>361</v>
      </c>
    </row>
    <row r="50" spans="1:13" x14ac:dyDescent="0.25">
      <c r="A50" s="1" t="s">
        <v>318</v>
      </c>
      <c r="B50" s="1" t="s">
        <v>271</v>
      </c>
      <c r="C50" s="1" t="s">
        <v>42</v>
      </c>
      <c r="D50" s="1" t="s">
        <v>80</v>
      </c>
      <c r="E50" s="1" t="s">
        <v>82</v>
      </c>
      <c r="F50" s="1" t="s">
        <v>101</v>
      </c>
      <c r="G50" s="1" t="s">
        <v>173</v>
      </c>
      <c r="H50" s="1">
        <v>10</v>
      </c>
      <c r="I50" s="1">
        <v>5</v>
      </c>
      <c r="J50" s="1">
        <f>Table1[[#This Row],[QUANTITY]]*Table1[[#This Row],[PRICE(INR)]]</f>
        <v>50</v>
      </c>
      <c r="K50" s="1" t="s">
        <v>208</v>
      </c>
      <c r="L50" s="1" t="s">
        <v>237</v>
      </c>
      <c r="M50" s="1" t="s">
        <v>361</v>
      </c>
    </row>
    <row r="51" spans="1:13" x14ac:dyDescent="0.25">
      <c r="A51" s="1" t="s">
        <v>319</v>
      </c>
      <c r="B51" s="1" t="s">
        <v>272</v>
      </c>
      <c r="C51" s="1" t="s">
        <v>43</v>
      </c>
      <c r="D51" s="1" t="s">
        <v>79</v>
      </c>
      <c r="E51" s="1" t="s">
        <v>83</v>
      </c>
      <c r="F51" s="1" t="s">
        <v>113</v>
      </c>
      <c r="G51" s="1" t="s">
        <v>174</v>
      </c>
      <c r="H51" s="1">
        <v>100</v>
      </c>
      <c r="I51" s="1">
        <v>2.1</v>
      </c>
      <c r="J51" s="1">
        <f>Table1[[#This Row],[QUANTITY]]*Table1[[#This Row],[PRICE(INR)]]</f>
        <v>210</v>
      </c>
      <c r="K51" s="1" t="s">
        <v>211</v>
      </c>
      <c r="L51" s="1" t="s">
        <v>236</v>
      </c>
      <c r="M51" s="1" t="s">
        <v>361</v>
      </c>
    </row>
    <row r="52" spans="1:13" x14ac:dyDescent="0.25">
      <c r="A52" s="1" t="s">
        <v>320</v>
      </c>
      <c r="B52" s="1" t="s">
        <v>273</v>
      </c>
      <c r="C52" s="1" t="s">
        <v>44</v>
      </c>
      <c r="D52" s="1" t="s">
        <v>80</v>
      </c>
      <c r="E52" s="1" t="s">
        <v>82</v>
      </c>
      <c r="F52" s="1" t="s">
        <v>114</v>
      </c>
      <c r="G52" s="1" t="s">
        <v>175</v>
      </c>
      <c r="H52" s="1">
        <v>25</v>
      </c>
      <c r="I52" s="1">
        <v>1.2</v>
      </c>
      <c r="J52" s="1">
        <f>Table1[[#This Row],[QUANTITY]]*Table1[[#This Row],[PRICE(INR)]]</f>
        <v>30</v>
      </c>
      <c r="K52" s="1" t="s">
        <v>211</v>
      </c>
      <c r="L52" s="1" t="s">
        <v>236</v>
      </c>
      <c r="M52" s="1" t="s">
        <v>361</v>
      </c>
    </row>
    <row r="53" spans="1:13" x14ac:dyDescent="0.25">
      <c r="A53" s="1" t="s">
        <v>321</v>
      </c>
      <c r="B53" s="1" t="s">
        <v>274</v>
      </c>
      <c r="C53" s="1" t="s">
        <v>45</v>
      </c>
      <c r="D53" s="1" t="s">
        <v>80</v>
      </c>
      <c r="E53" s="1" t="s">
        <v>82</v>
      </c>
      <c r="F53" s="1" t="s">
        <v>115</v>
      </c>
      <c r="G53" s="1" t="s">
        <v>176</v>
      </c>
      <c r="H53" s="1">
        <v>78</v>
      </c>
      <c r="I53" s="1">
        <v>3</v>
      </c>
      <c r="J53" s="1">
        <f>Table1[[#This Row],[QUANTITY]]*Table1[[#This Row],[PRICE(INR)]]</f>
        <v>234</v>
      </c>
      <c r="K53" s="1" t="s">
        <v>219</v>
      </c>
      <c r="L53" s="1" t="s">
        <v>236</v>
      </c>
      <c r="M53" s="1" t="s">
        <v>361</v>
      </c>
    </row>
    <row r="54" spans="1:13" x14ac:dyDescent="0.25">
      <c r="A54" s="1" t="s">
        <v>322</v>
      </c>
      <c r="B54" s="1" t="s">
        <v>275</v>
      </c>
      <c r="C54" s="1" t="s">
        <v>46</v>
      </c>
      <c r="D54" s="1" t="s">
        <v>80</v>
      </c>
      <c r="E54" s="1" t="s">
        <v>82</v>
      </c>
      <c r="F54" s="1" t="s">
        <v>86</v>
      </c>
      <c r="G54" s="1" t="s">
        <v>155</v>
      </c>
      <c r="H54" s="1">
        <v>54</v>
      </c>
      <c r="I54" s="1">
        <v>4.0999999999999996</v>
      </c>
      <c r="J54" s="1">
        <f>Table1[[#This Row],[QUANTITY]]*Table1[[#This Row],[PRICE(INR)]]</f>
        <v>221.39999999999998</v>
      </c>
      <c r="K54" s="1" t="s">
        <v>194</v>
      </c>
      <c r="L54" s="1" t="s">
        <v>237</v>
      </c>
      <c r="M54" s="1" t="s">
        <v>361</v>
      </c>
    </row>
    <row r="55" spans="1:13" x14ac:dyDescent="0.25">
      <c r="A55" s="1" t="s">
        <v>323</v>
      </c>
      <c r="B55" s="1" t="s">
        <v>258</v>
      </c>
      <c r="C55" s="1" t="s">
        <v>15</v>
      </c>
      <c r="D55" s="1" t="s">
        <v>79</v>
      </c>
      <c r="E55" s="1" t="s">
        <v>82</v>
      </c>
      <c r="F55" s="1" t="s">
        <v>116</v>
      </c>
      <c r="G55" s="1" t="s">
        <v>177</v>
      </c>
      <c r="H55" s="1">
        <v>68</v>
      </c>
      <c r="I55" s="1">
        <v>2.1</v>
      </c>
      <c r="J55" s="1">
        <f>Table1[[#This Row],[QUANTITY]]*Table1[[#This Row],[PRICE(INR)]]</f>
        <v>142.80000000000001</v>
      </c>
      <c r="K55" s="1" t="s">
        <v>220</v>
      </c>
      <c r="L55" s="1" t="s">
        <v>238</v>
      </c>
      <c r="M55" s="1" t="s">
        <v>361</v>
      </c>
    </row>
    <row r="56" spans="1:13" x14ac:dyDescent="0.25">
      <c r="A56" s="1" t="s">
        <v>324</v>
      </c>
      <c r="B56" s="1" t="s">
        <v>257</v>
      </c>
      <c r="C56" s="1" t="s">
        <v>13</v>
      </c>
      <c r="D56" s="1" t="s">
        <v>79</v>
      </c>
      <c r="E56" s="1" t="s">
        <v>83</v>
      </c>
      <c r="F56" s="1" t="s">
        <v>105</v>
      </c>
      <c r="G56" s="1" t="s">
        <v>156</v>
      </c>
      <c r="H56" s="1">
        <v>211</v>
      </c>
      <c r="I56" s="1">
        <v>1.2</v>
      </c>
      <c r="J56" s="1">
        <f>Table1[[#This Row],[QUANTITY]]*Table1[[#This Row],[PRICE(INR)]]</f>
        <v>253.2</v>
      </c>
      <c r="K56" s="1" t="s">
        <v>221</v>
      </c>
      <c r="L56" s="1" t="s">
        <v>236</v>
      </c>
      <c r="M56" s="1" t="s">
        <v>361</v>
      </c>
    </row>
    <row r="57" spans="1:13" x14ac:dyDescent="0.25">
      <c r="A57" s="1" t="s">
        <v>325</v>
      </c>
      <c r="B57" s="1" t="s">
        <v>276</v>
      </c>
      <c r="C57" s="1" t="s">
        <v>47</v>
      </c>
      <c r="D57" s="1" t="s">
        <v>80</v>
      </c>
      <c r="E57" s="1" t="s">
        <v>82</v>
      </c>
      <c r="F57" s="1" t="s">
        <v>117</v>
      </c>
      <c r="G57" s="1" t="s">
        <v>178</v>
      </c>
      <c r="H57" s="1">
        <v>678</v>
      </c>
      <c r="I57" s="1">
        <v>2.2999999999999998</v>
      </c>
      <c r="J57" s="1">
        <f>Table1[[#This Row],[QUANTITY]]*Table1[[#This Row],[PRICE(INR)]]</f>
        <v>1559.3999999999999</v>
      </c>
      <c r="K57" s="1" t="s">
        <v>221</v>
      </c>
      <c r="L57" s="1" t="s">
        <v>239</v>
      </c>
      <c r="M57" s="1" t="s">
        <v>361</v>
      </c>
    </row>
    <row r="58" spans="1:13" x14ac:dyDescent="0.25">
      <c r="A58" s="1" t="s">
        <v>326</v>
      </c>
      <c r="B58" s="1" t="s">
        <v>277</v>
      </c>
      <c r="C58" s="1" t="s">
        <v>48</v>
      </c>
      <c r="D58" s="1" t="s">
        <v>80</v>
      </c>
      <c r="E58" s="1" t="s">
        <v>81</v>
      </c>
      <c r="F58" s="1" t="s">
        <v>118</v>
      </c>
      <c r="G58" s="1" t="s">
        <v>179</v>
      </c>
      <c r="H58" s="1">
        <v>232</v>
      </c>
      <c r="I58" s="1">
        <v>2</v>
      </c>
      <c r="J58" s="1">
        <f>Table1[[#This Row],[QUANTITY]]*Table1[[#This Row],[PRICE(INR)]]</f>
        <v>464</v>
      </c>
      <c r="K58" s="1" t="s">
        <v>193</v>
      </c>
      <c r="L58" s="1" t="s">
        <v>238</v>
      </c>
      <c r="M58" s="1" t="s">
        <v>361</v>
      </c>
    </row>
    <row r="59" spans="1:13" x14ac:dyDescent="0.25">
      <c r="A59" s="1" t="s">
        <v>327</v>
      </c>
      <c r="B59" s="1" t="s">
        <v>278</v>
      </c>
      <c r="C59" s="1" t="s">
        <v>49</v>
      </c>
      <c r="D59" s="1" t="s">
        <v>79</v>
      </c>
      <c r="E59" s="1" t="s">
        <v>81</v>
      </c>
      <c r="F59" s="1" t="s">
        <v>119</v>
      </c>
      <c r="G59" s="1" t="s">
        <v>141</v>
      </c>
      <c r="H59" s="1">
        <v>201</v>
      </c>
      <c r="I59" s="1">
        <v>3</v>
      </c>
      <c r="J59" s="1">
        <f>Table1[[#This Row],[QUANTITY]]*Table1[[#This Row],[PRICE(INR)]]</f>
        <v>603</v>
      </c>
      <c r="K59" s="1" t="s">
        <v>195</v>
      </c>
      <c r="L59" s="1" t="s">
        <v>237</v>
      </c>
      <c r="M59" s="1" t="s">
        <v>361</v>
      </c>
    </row>
    <row r="60" spans="1:13" x14ac:dyDescent="0.25">
      <c r="A60" s="1" t="s">
        <v>328</v>
      </c>
      <c r="B60" s="1" t="s">
        <v>279</v>
      </c>
      <c r="C60" s="1" t="s">
        <v>50</v>
      </c>
      <c r="D60" s="1" t="s">
        <v>80</v>
      </c>
      <c r="E60" s="1" t="s">
        <v>82</v>
      </c>
      <c r="F60" s="1" t="s">
        <v>120</v>
      </c>
      <c r="G60" s="1" t="s">
        <v>180</v>
      </c>
      <c r="H60" s="1">
        <v>501</v>
      </c>
      <c r="I60" s="1">
        <v>5</v>
      </c>
      <c r="J60" s="1">
        <f>Table1[[#This Row],[QUANTITY]]*Table1[[#This Row],[PRICE(INR)]]</f>
        <v>2505</v>
      </c>
      <c r="K60" s="1" t="s">
        <v>208</v>
      </c>
      <c r="L60" s="1" t="s">
        <v>236</v>
      </c>
      <c r="M60" s="1" t="s">
        <v>361</v>
      </c>
    </row>
    <row r="61" spans="1:13" x14ac:dyDescent="0.25">
      <c r="A61" s="1" t="s">
        <v>329</v>
      </c>
      <c r="B61" s="1" t="s">
        <v>255</v>
      </c>
      <c r="C61" s="1" t="s">
        <v>36</v>
      </c>
      <c r="D61" s="1" t="s">
        <v>80</v>
      </c>
      <c r="E61" s="1" t="s">
        <v>82</v>
      </c>
      <c r="F61" s="1" t="s">
        <v>121</v>
      </c>
      <c r="G61" s="1" t="s">
        <v>181</v>
      </c>
      <c r="H61" s="1">
        <v>402</v>
      </c>
      <c r="I61" s="1">
        <v>4</v>
      </c>
      <c r="J61" s="1">
        <f>Table1[[#This Row],[QUANTITY]]*Table1[[#This Row],[PRICE(INR)]]</f>
        <v>1608</v>
      </c>
      <c r="K61" s="1" t="s">
        <v>222</v>
      </c>
      <c r="L61" s="1" t="s">
        <v>236</v>
      </c>
      <c r="M61" s="1" t="s">
        <v>361</v>
      </c>
    </row>
    <row r="62" spans="1:13" x14ac:dyDescent="0.25">
      <c r="A62" s="1" t="s">
        <v>330</v>
      </c>
      <c r="B62" s="1" t="s">
        <v>280</v>
      </c>
      <c r="C62" s="1" t="s">
        <v>51</v>
      </c>
      <c r="D62" s="1" t="s">
        <v>80</v>
      </c>
      <c r="E62" s="1" t="s">
        <v>82</v>
      </c>
      <c r="F62" s="1" t="s">
        <v>119</v>
      </c>
      <c r="G62" s="1" t="s">
        <v>141</v>
      </c>
      <c r="H62" s="1">
        <v>201</v>
      </c>
      <c r="I62" s="1">
        <v>3</v>
      </c>
      <c r="J62" s="1">
        <f>Table1[[#This Row],[QUANTITY]]*Table1[[#This Row],[PRICE(INR)]]</f>
        <v>603</v>
      </c>
      <c r="K62" s="1" t="s">
        <v>223</v>
      </c>
      <c r="L62" s="1" t="s">
        <v>237</v>
      </c>
      <c r="M62" s="1" t="s">
        <v>361</v>
      </c>
    </row>
    <row r="63" spans="1:13" x14ac:dyDescent="0.25">
      <c r="A63" s="8">
        <v>45297</v>
      </c>
      <c r="B63" s="1" t="s">
        <v>281</v>
      </c>
      <c r="C63" s="1" t="s">
        <v>52</v>
      </c>
      <c r="D63" s="1" t="s">
        <v>79</v>
      </c>
      <c r="E63" s="1" t="s">
        <v>82</v>
      </c>
      <c r="F63" s="1" t="s">
        <v>115</v>
      </c>
      <c r="G63" s="1" t="s">
        <v>152</v>
      </c>
      <c r="H63" s="1">
        <v>798</v>
      </c>
      <c r="I63" s="1">
        <v>2</v>
      </c>
      <c r="J63" s="1">
        <f>Table1[[#This Row],[QUANTITY]]*Table1[[#This Row],[PRICE(INR)]]</f>
        <v>1596</v>
      </c>
      <c r="K63" s="1" t="s">
        <v>224</v>
      </c>
      <c r="L63" s="1" t="s">
        <v>237</v>
      </c>
      <c r="M63" s="1" t="s">
        <v>362</v>
      </c>
    </row>
    <row r="64" spans="1:13" x14ac:dyDescent="0.25">
      <c r="A64" s="8">
        <v>45328</v>
      </c>
      <c r="B64" s="1" t="s">
        <v>282</v>
      </c>
      <c r="C64" s="1" t="s">
        <v>53</v>
      </c>
      <c r="D64" s="1" t="s">
        <v>80</v>
      </c>
      <c r="E64" s="1" t="s">
        <v>83</v>
      </c>
      <c r="F64" s="1" t="s">
        <v>122</v>
      </c>
      <c r="G64" s="1" t="s">
        <v>153</v>
      </c>
      <c r="H64" s="1">
        <v>635</v>
      </c>
      <c r="I64" s="1">
        <v>1.6</v>
      </c>
      <c r="J64" s="1">
        <f>Table1[[#This Row],[QUANTITY]]*Table1[[#This Row],[PRICE(INR)]]</f>
        <v>1016</v>
      </c>
      <c r="K64" s="1" t="s">
        <v>210</v>
      </c>
      <c r="L64" s="1" t="s">
        <v>238</v>
      </c>
      <c r="M64" s="1" t="s">
        <v>362</v>
      </c>
    </row>
    <row r="65" spans="1:13" x14ac:dyDescent="0.25">
      <c r="A65" s="8">
        <v>45357</v>
      </c>
      <c r="B65" s="1" t="s">
        <v>283</v>
      </c>
      <c r="C65" s="1" t="s">
        <v>54</v>
      </c>
      <c r="D65" s="1" t="s">
        <v>80</v>
      </c>
      <c r="E65" s="1" t="s">
        <v>83</v>
      </c>
      <c r="F65" s="1" t="s">
        <v>123</v>
      </c>
      <c r="G65" s="1" t="s">
        <v>182</v>
      </c>
      <c r="H65" s="1">
        <v>802</v>
      </c>
      <c r="I65" s="1">
        <v>3</v>
      </c>
      <c r="J65" s="1">
        <f>Table1[[#This Row],[QUANTITY]]*Table1[[#This Row],[PRICE(INR)]]</f>
        <v>2406</v>
      </c>
      <c r="K65" s="1" t="s">
        <v>195</v>
      </c>
      <c r="L65" s="1" t="s">
        <v>238</v>
      </c>
      <c r="M65" s="1" t="s">
        <v>362</v>
      </c>
    </row>
    <row r="66" spans="1:13" x14ac:dyDescent="0.25">
      <c r="A66" s="8">
        <v>45388</v>
      </c>
      <c r="B66" s="1" t="s">
        <v>245</v>
      </c>
      <c r="C66" s="1" t="s">
        <v>11</v>
      </c>
      <c r="D66" s="1" t="s">
        <v>79</v>
      </c>
      <c r="E66" s="1" t="s">
        <v>81</v>
      </c>
      <c r="F66" s="1" t="s">
        <v>119</v>
      </c>
      <c r="G66" s="1" t="s">
        <v>141</v>
      </c>
      <c r="H66" s="1">
        <v>201</v>
      </c>
      <c r="I66" s="1">
        <v>3</v>
      </c>
      <c r="J66" s="1">
        <f>Table1[[#This Row],[QUANTITY]]*Table1[[#This Row],[PRICE(INR)]]</f>
        <v>603</v>
      </c>
      <c r="K66" s="1" t="s">
        <v>208</v>
      </c>
      <c r="L66" s="1" t="s">
        <v>238</v>
      </c>
      <c r="M66" s="1" t="s">
        <v>362</v>
      </c>
    </row>
    <row r="67" spans="1:13" x14ac:dyDescent="0.25">
      <c r="A67" s="8">
        <v>45418</v>
      </c>
      <c r="B67" s="1" t="s">
        <v>247</v>
      </c>
      <c r="C67" s="1" t="s">
        <v>16</v>
      </c>
      <c r="D67" s="1" t="s">
        <v>80</v>
      </c>
      <c r="E67" s="1" t="s">
        <v>82</v>
      </c>
      <c r="F67" s="1" t="s">
        <v>88</v>
      </c>
      <c r="G67" s="1" t="s">
        <v>183</v>
      </c>
      <c r="H67" s="1">
        <v>401</v>
      </c>
      <c r="I67" s="1">
        <v>3.2</v>
      </c>
      <c r="J67" s="1">
        <f>Table1[[#This Row],[QUANTITY]]*Table1[[#This Row],[PRICE(INR)]]</f>
        <v>1283.2</v>
      </c>
      <c r="K67" s="1" t="s">
        <v>194</v>
      </c>
      <c r="L67" s="1" t="s">
        <v>238</v>
      </c>
      <c r="M67" s="1" t="s">
        <v>362</v>
      </c>
    </row>
    <row r="68" spans="1:13" x14ac:dyDescent="0.25">
      <c r="A68" s="8">
        <v>45449</v>
      </c>
      <c r="B68" s="1" t="s">
        <v>259</v>
      </c>
      <c r="C68" s="1" t="s">
        <v>17</v>
      </c>
      <c r="D68" s="1" t="s">
        <v>80</v>
      </c>
      <c r="E68" s="1" t="s">
        <v>81</v>
      </c>
      <c r="F68" s="1" t="s">
        <v>92</v>
      </c>
      <c r="G68" s="1" t="s">
        <v>184</v>
      </c>
      <c r="H68" s="1">
        <v>502</v>
      </c>
      <c r="I68" s="1">
        <v>1.6</v>
      </c>
      <c r="J68" s="1">
        <f>Table1[[#This Row],[QUANTITY]]*Table1[[#This Row],[PRICE(INR)]]</f>
        <v>803.2</v>
      </c>
      <c r="K68" s="1" t="s">
        <v>193</v>
      </c>
      <c r="L68" s="1" t="s">
        <v>236</v>
      </c>
      <c r="M68" s="1" t="s">
        <v>362</v>
      </c>
    </row>
    <row r="69" spans="1:13" x14ac:dyDescent="0.25">
      <c r="A69" s="8">
        <v>45479</v>
      </c>
      <c r="B69" s="1" t="s">
        <v>264</v>
      </c>
      <c r="C69" s="1" t="s">
        <v>27</v>
      </c>
      <c r="D69" s="1" t="s">
        <v>80</v>
      </c>
      <c r="E69" s="1" t="s">
        <v>82</v>
      </c>
      <c r="F69" s="1" t="s">
        <v>84</v>
      </c>
      <c r="G69" s="1" t="s">
        <v>130</v>
      </c>
      <c r="H69" s="1">
        <v>100</v>
      </c>
      <c r="I69" s="1">
        <v>1.2</v>
      </c>
      <c r="J69" s="1">
        <f>Table1[[#This Row],[QUANTITY]]*Table1[[#This Row],[PRICE(INR)]]</f>
        <v>120</v>
      </c>
      <c r="K69" s="1" t="s">
        <v>197</v>
      </c>
      <c r="L69" s="1" t="s">
        <v>237</v>
      </c>
      <c r="M69" s="1" t="s">
        <v>362</v>
      </c>
    </row>
    <row r="70" spans="1:13" x14ac:dyDescent="0.25">
      <c r="A70" s="1" t="s">
        <v>331</v>
      </c>
      <c r="B70" s="1" t="s">
        <v>265</v>
      </c>
      <c r="C70" s="1" t="s">
        <v>28</v>
      </c>
      <c r="D70" s="1" t="s">
        <v>79</v>
      </c>
      <c r="E70" s="1" t="s">
        <v>82</v>
      </c>
      <c r="F70" s="1" t="s">
        <v>124</v>
      </c>
      <c r="G70" s="1" t="s">
        <v>185</v>
      </c>
      <c r="H70" s="1">
        <v>411</v>
      </c>
      <c r="I70" s="1">
        <v>3</v>
      </c>
      <c r="J70" s="1">
        <f>Table1[[#This Row],[QUANTITY]]*Table1[[#This Row],[PRICE(INR)]]</f>
        <v>1233</v>
      </c>
      <c r="K70" s="1" t="s">
        <v>199</v>
      </c>
      <c r="L70" s="1" t="s">
        <v>238</v>
      </c>
      <c r="M70" s="1" t="s">
        <v>362</v>
      </c>
    </row>
    <row r="71" spans="1:13" x14ac:dyDescent="0.25">
      <c r="A71" s="8">
        <v>45602</v>
      </c>
      <c r="B71" s="1" t="s">
        <v>284</v>
      </c>
      <c r="C71" s="1" t="s">
        <v>55</v>
      </c>
      <c r="D71" s="1" t="s">
        <v>80</v>
      </c>
      <c r="E71" s="1" t="s">
        <v>82</v>
      </c>
      <c r="F71" s="1" t="s">
        <v>125</v>
      </c>
      <c r="G71" s="1" t="s">
        <v>186</v>
      </c>
      <c r="H71" s="1">
        <v>407</v>
      </c>
      <c r="I71" s="1">
        <v>4</v>
      </c>
      <c r="J71" s="1">
        <f>Table1[[#This Row],[QUANTITY]]*Table1[[#This Row],[PRICE(INR)]]</f>
        <v>1628</v>
      </c>
      <c r="K71" s="1" t="s">
        <v>225</v>
      </c>
      <c r="L71" s="1" t="s">
        <v>237</v>
      </c>
      <c r="M71" s="1" t="s">
        <v>362</v>
      </c>
    </row>
    <row r="72" spans="1:13" x14ac:dyDescent="0.25">
      <c r="A72" s="8">
        <v>45632</v>
      </c>
      <c r="B72" s="1" t="s">
        <v>285</v>
      </c>
      <c r="C72" s="1" t="s">
        <v>56</v>
      </c>
      <c r="D72" s="1" t="s">
        <v>79</v>
      </c>
      <c r="E72" s="1" t="s">
        <v>82</v>
      </c>
      <c r="F72" s="1" t="s">
        <v>119</v>
      </c>
      <c r="G72" s="1" t="s">
        <v>141</v>
      </c>
      <c r="H72" s="1">
        <v>201</v>
      </c>
      <c r="I72" s="1">
        <v>3</v>
      </c>
      <c r="J72" s="1">
        <f>Table1[[#This Row],[QUANTITY]]*Table1[[#This Row],[PRICE(INR)]]</f>
        <v>603</v>
      </c>
      <c r="K72" s="1" t="s">
        <v>200</v>
      </c>
      <c r="L72" s="1" t="s">
        <v>238</v>
      </c>
      <c r="M72" s="1" t="s">
        <v>362</v>
      </c>
    </row>
    <row r="73" spans="1:13" x14ac:dyDescent="0.25">
      <c r="A73" s="1" t="s">
        <v>332</v>
      </c>
      <c r="B73" s="1" t="s">
        <v>286</v>
      </c>
      <c r="C73" s="1" t="s">
        <v>57</v>
      </c>
      <c r="D73" s="1" t="s">
        <v>79</v>
      </c>
      <c r="E73" s="1" t="s">
        <v>81</v>
      </c>
      <c r="F73" s="1" t="s">
        <v>84</v>
      </c>
      <c r="G73" s="1" t="s">
        <v>130</v>
      </c>
      <c r="H73" s="1">
        <v>100</v>
      </c>
      <c r="I73" s="1">
        <v>5</v>
      </c>
      <c r="J73" s="1">
        <f>Table1[[#This Row],[QUANTITY]]*Table1[[#This Row],[PRICE(INR)]]</f>
        <v>500</v>
      </c>
      <c r="K73" s="1" t="s">
        <v>201</v>
      </c>
      <c r="L73" s="1" t="s">
        <v>239</v>
      </c>
      <c r="M73" s="1" t="s">
        <v>362</v>
      </c>
    </row>
    <row r="74" spans="1:13" x14ac:dyDescent="0.25">
      <c r="A74" s="1" t="s">
        <v>333</v>
      </c>
      <c r="B74" s="1" t="s">
        <v>287</v>
      </c>
      <c r="C74" s="1" t="s">
        <v>58</v>
      </c>
      <c r="D74" s="1" t="s">
        <v>79</v>
      </c>
      <c r="E74" s="1" t="s">
        <v>82</v>
      </c>
      <c r="F74" s="1" t="s">
        <v>100</v>
      </c>
      <c r="G74" s="1" t="s">
        <v>187</v>
      </c>
      <c r="H74" s="1">
        <v>200</v>
      </c>
      <c r="I74" s="1">
        <v>8</v>
      </c>
      <c r="J74" s="1">
        <f>Table1[[#This Row],[QUANTITY]]*Table1[[#This Row],[PRICE(INR)]]</f>
        <v>1600</v>
      </c>
      <c r="K74" s="1" t="s">
        <v>216</v>
      </c>
      <c r="L74" s="1" t="s">
        <v>236</v>
      </c>
      <c r="M74" s="1" t="s">
        <v>362</v>
      </c>
    </row>
    <row r="75" spans="1:13" x14ac:dyDescent="0.25">
      <c r="A75" s="1" t="s">
        <v>334</v>
      </c>
      <c r="B75" s="1" t="s">
        <v>288</v>
      </c>
      <c r="C75" s="1" t="s">
        <v>59</v>
      </c>
      <c r="D75" s="1" t="s">
        <v>80</v>
      </c>
      <c r="E75" s="1" t="s">
        <v>83</v>
      </c>
      <c r="F75" s="1" t="s">
        <v>101</v>
      </c>
      <c r="G75" s="1" t="s">
        <v>166</v>
      </c>
      <c r="H75" s="1">
        <v>70</v>
      </c>
      <c r="I75" s="1">
        <v>2</v>
      </c>
      <c r="J75" s="1">
        <f>Table1[[#This Row],[QUANTITY]]*Table1[[#This Row],[PRICE(INR)]]</f>
        <v>140</v>
      </c>
      <c r="K75" s="1" t="s">
        <v>226</v>
      </c>
      <c r="L75" s="1" t="s">
        <v>237</v>
      </c>
      <c r="M75" s="1" t="s">
        <v>362</v>
      </c>
    </row>
    <row r="76" spans="1:13" x14ac:dyDescent="0.25">
      <c r="A76" s="1" t="s">
        <v>335</v>
      </c>
      <c r="B76" s="1" t="s">
        <v>253</v>
      </c>
      <c r="C76" s="1" t="s">
        <v>14</v>
      </c>
      <c r="D76" s="1" t="s">
        <v>80</v>
      </c>
      <c r="E76" s="1" t="s">
        <v>82</v>
      </c>
      <c r="F76" s="1" t="s">
        <v>85</v>
      </c>
      <c r="G76" s="1" t="s">
        <v>131</v>
      </c>
      <c r="H76" s="1">
        <v>400</v>
      </c>
      <c r="I76" s="1">
        <v>4</v>
      </c>
      <c r="J76" s="1">
        <f>Table1[[#This Row],[QUANTITY]]*Table1[[#This Row],[PRICE(INR)]]</f>
        <v>1600</v>
      </c>
      <c r="K76" s="1" t="s">
        <v>204</v>
      </c>
      <c r="L76" s="1" t="s">
        <v>238</v>
      </c>
      <c r="M76" s="1" t="s">
        <v>362</v>
      </c>
    </row>
    <row r="77" spans="1:13" x14ac:dyDescent="0.25">
      <c r="A77" s="1" t="s">
        <v>336</v>
      </c>
      <c r="B77" s="1" t="s">
        <v>289</v>
      </c>
      <c r="C77" s="1" t="s">
        <v>60</v>
      </c>
      <c r="D77" s="1" t="s">
        <v>80</v>
      </c>
      <c r="E77" s="1" t="s">
        <v>82</v>
      </c>
      <c r="F77" s="1" t="s">
        <v>126</v>
      </c>
      <c r="G77" s="1" t="s">
        <v>188</v>
      </c>
      <c r="H77" s="1">
        <v>500</v>
      </c>
      <c r="I77" s="1">
        <v>6</v>
      </c>
      <c r="J77" s="1">
        <f>Table1[[#This Row],[QUANTITY]]*Table1[[#This Row],[PRICE(INR)]]</f>
        <v>3000</v>
      </c>
      <c r="K77" s="1" t="s">
        <v>227</v>
      </c>
      <c r="L77" s="1" t="s">
        <v>239</v>
      </c>
      <c r="M77" s="1" t="s">
        <v>362</v>
      </c>
    </row>
    <row r="78" spans="1:13" x14ac:dyDescent="0.25">
      <c r="A78" s="1" t="s">
        <v>337</v>
      </c>
      <c r="B78" s="1" t="s">
        <v>290</v>
      </c>
      <c r="C78" s="1" t="s">
        <v>61</v>
      </c>
      <c r="D78" s="1" t="s">
        <v>80</v>
      </c>
      <c r="E78" s="1" t="s">
        <v>82</v>
      </c>
      <c r="F78" s="1" t="s">
        <v>86</v>
      </c>
      <c r="G78" s="1" t="s">
        <v>189</v>
      </c>
      <c r="H78" s="1">
        <v>600</v>
      </c>
      <c r="I78" s="1">
        <v>7</v>
      </c>
      <c r="J78" s="1">
        <f>Table1[[#This Row],[QUANTITY]]*Table1[[#This Row],[PRICE(INR)]]</f>
        <v>4200</v>
      </c>
      <c r="K78" s="1" t="s">
        <v>228</v>
      </c>
      <c r="L78" s="1" t="s">
        <v>236</v>
      </c>
      <c r="M78" s="1" t="s">
        <v>362</v>
      </c>
    </row>
    <row r="79" spans="1:13" x14ac:dyDescent="0.25">
      <c r="A79" s="1" t="s">
        <v>338</v>
      </c>
      <c r="B79" s="1" t="s">
        <v>291</v>
      </c>
      <c r="C79" s="1" t="s">
        <v>62</v>
      </c>
      <c r="D79" s="1" t="s">
        <v>80</v>
      </c>
      <c r="E79" s="1" t="s">
        <v>82</v>
      </c>
      <c r="F79" s="1" t="s">
        <v>113</v>
      </c>
      <c r="G79" s="1" t="s">
        <v>191</v>
      </c>
      <c r="H79" s="1">
        <v>100</v>
      </c>
      <c r="I79" s="1">
        <v>3</v>
      </c>
      <c r="J79" s="1">
        <f>Table1[[#This Row],[QUANTITY]]*Table1[[#This Row],[PRICE(INR)]]</f>
        <v>300</v>
      </c>
      <c r="K79" s="1" t="s">
        <v>207</v>
      </c>
      <c r="L79" s="1" t="s">
        <v>237</v>
      </c>
      <c r="M79" s="1" t="s">
        <v>362</v>
      </c>
    </row>
    <row r="80" spans="1:13" x14ac:dyDescent="0.25">
      <c r="A80" s="1" t="s">
        <v>339</v>
      </c>
      <c r="B80" s="1" t="s">
        <v>292</v>
      </c>
      <c r="C80" s="1" t="s">
        <v>63</v>
      </c>
      <c r="D80" s="1" t="s">
        <v>80</v>
      </c>
      <c r="E80" s="1" t="s">
        <v>83</v>
      </c>
      <c r="F80" s="1" t="s">
        <v>95</v>
      </c>
      <c r="G80" s="1" t="s">
        <v>142</v>
      </c>
      <c r="H80" s="1">
        <v>800</v>
      </c>
      <c r="I80" s="1">
        <v>0.5</v>
      </c>
      <c r="J80" s="1">
        <f>Table1[[#This Row],[QUANTITY]]*Table1[[#This Row],[PRICE(INR)]]</f>
        <v>400</v>
      </c>
      <c r="K80" s="1" t="s">
        <v>221</v>
      </c>
      <c r="L80" s="1" t="s">
        <v>238</v>
      </c>
      <c r="M80" s="1" t="s">
        <v>362</v>
      </c>
    </row>
    <row r="81" spans="1:13" x14ac:dyDescent="0.25">
      <c r="A81" s="1" t="s">
        <v>340</v>
      </c>
      <c r="B81" s="1" t="s">
        <v>293</v>
      </c>
      <c r="C81" s="1" t="s">
        <v>64</v>
      </c>
      <c r="D81" s="1" t="s">
        <v>80</v>
      </c>
      <c r="E81" s="1" t="s">
        <v>83</v>
      </c>
      <c r="F81" s="1" t="s">
        <v>94</v>
      </c>
      <c r="G81" s="1" t="s">
        <v>140</v>
      </c>
      <c r="H81" s="1">
        <v>78</v>
      </c>
      <c r="I81" s="1">
        <v>2.5</v>
      </c>
      <c r="J81" s="1">
        <f>Table1[[#This Row],[QUANTITY]]*Table1[[#This Row],[PRICE(INR)]]</f>
        <v>195</v>
      </c>
      <c r="K81" s="1" t="s">
        <v>208</v>
      </c>
      <c r="L81" s="1" t="s">
        <v>238</v>
      </c>
      <c r="M81" s="1" t="s">
        <v>362</v>
      </c>
    </row>
    <row r="82" spans="1:13" x14ac:dyDescent="0.25">
      <c r="A82" s="1" t="s">
        <v>341</v>
      </c>
      <c r="B82" s="1" t="s">
        <v>294</v>
      </c>
      <c r="C82" s="1" t="s">
        <v>65</v>
      </c>
      <c r="D82" s="1" t="s">
        <v>80</v>
      </c>
      <c r="E82" s="1" t="s">
        <v>81</v>
      </c>
      <c r="F82" s="1" t="s">
        <v>96</v>
      </c>
      <c r="G82" s="1" t="s">
        <v>190</v>
      </c>
      <c r="H82" s="1">
        <v>80</v>
      </c>
      <c r="I82" s="1">
        <v>5</v>
      </c>
      <c r="J82" s="1">
        <f>Table1[[#This Row],[QUANTITY]]*Table1[[#This Row],[PRICE(INR)]]</f>
        <v>400</v>
      </c>
      <c r="K82" s="1" t="s">
        <v>229</v>
      </c>
      <c r="L82" s="1" t="s">
        <v>237</v>
      </c>
      <c r="M82" s="1" t="s">
        <v>362</v>
      </c>
    </row>
    <row r="83" spans="1:13" x14ac:dyDescent="0.25">
      <c r="A83" s="1" t="s">
        <v>342</v>
      </c>
      <c r="B83" s="1" t="s">
        <v>295</v>
      </c>
      <c r="C83" s="1" t="s">
        <v>66</v>
      </c>
      <c r="D83" s="1" t="s">
        <v>80</v>
      </c>
      <c r="E83" s="1" t="s">
        <v>82</v>
      </c>
      <c r="F83" s="1" t="s">
        <v>87</v>
      </c>
      <c r="G83" s="1" t="s">
        <v>133</v>
      </c>
      <c r="H83" s="1">
        <v>56</v>
      </c>
      <c r="I83" s="1">
        <v>2</v>
      </c>
      <c r="J83" s="1">
        <f>Table1[[#This Row],[QUANTITY]]*Table1[[#This Row],[PRICE(INR)]]</f>
        <v>112</v>
      </c>
      <c r="K83" s="1" t="s">
        <v>209</v>
      </c>
      <c r="L83" s="1" t="s">
        <v>237</v>
      </c>
      <c r="M83" s="1" t="s">
        <v>362</v>
      </c>
    </row>
    <row r="84" spans="1:13" x14ac:dyDescent="0.25">
      <c r="A84" s="1" t="s">
        <v>343</v>
      </c>
      <c r="B84" s="1" t="s">
        <v>296</v>
      </c>
      <c r="C84" s="1" t="s">
        <v>67</v>
      </c>
      <c r="D84" s="1" t="s">
        <v>80</v>
      </c>
      <c r="E84" s="1" t="s">
        <v>82</v>
      </c>
      <c r="F84" s="1" t="s">
        <v>119</v>
      </c>
      <c r="G84" s="1" t="s">
        <v>141</v>
      </c>
      <c r="H84" s="1">
        <v>38</v>
      </c>
      <c r="I84" s="1">
        <v>3</v>
      </c>
      <c r="J84" s="1">
        <f>Table1[[#This Row],[QUANTITY]]*Table1[[#This Row],[PRICE(INR)]]</f>
        <v>114</v>
      </c>
      <c r="K84" s="1" t="s">
        <v>211</v>
      </c>
      <c r="L84" s="1" t="s">
        <v>236</v>
      </c>
      <c r="M84" s="1" t="s">
        <v>362</v>
      </c>
    </row>
    <row r="85" spans="1:13" x14ac:dyDescent="0.25">
      <c r="A85" s="1" t="s">
        <v>344</v>
      </c>
      <c r="B85" s="1" t="s">
        <v>245</v>
      </c>
      <c r="C85" s="1" t="s">
        <v>11</v>
      </c>
      <c r="D85" s="1" t="s">
        <v>79</v>
      </c>
      <c r="E85" s="1" t="s">
        <v>81</v>
      </c>
      <c r="F85" s="1" t="s">
        <v>127</v>
      </c>
      <c r="G85" s="1" t="s">
        <v>192</v>
      </c>
      <c r="H85" s="1">
        <v>100</v>
      </c>
      <c r="I85" s="1">
        <v>2</v>
      </c>
      <c r="J85" s="1">
        <f>Table1[[#This Row],[QUANTITY]]*Table1[[#This Row],[PRICE(INR)]]</f>
        <v>200</v>
      </c>
      <c r="K85" s="1" t="s">
        <v>230</v>
      </c>
      <c r="L85" s="1" t="s">
        <v>239</v>
      </c>
      <c r="M85" s="1" t="s">
        <v>362</v>
      </c>
    </row>
    <row r="86" spans="1:13" x14ac:dyDescent="0.25">
      <c r="A86" s="1" t="s">
        <v>345</v>
      </c>
      <c r="B86" s="1" t="s">
        <v>297</v>
      </c>
      <c r="C86" s="1" t="s">
        <v>68</v>
      </c>
      <c r="D86" s="1" t="s">
        <v>80</v>
      </c>
      <c r="E86" s="1" t="s">
        <v>82</v>
      </c>
      <c r="F86" s="1" t="s">
        <v>88</v>
      </c>
      <c r="G86" s="1" t="s">
        <v>161</v>
      </c>
      <c r="H86" s="1">
        <v>78</v>
      </c>
      <c r="I86" s="1">
        <v>1.2</v>
      </c>
      <c r="J86" s="1">
        <f>Table1[[#This Row],[QUANTITY]]*Table1[[#This Row],[PRICE(INR)]]</f>
        <v>93.6</v>
      </c>
      <c r="K86" s="1" t="s">
        <v>231</v>
      </c>
      <c r="L86" s="1" t="s">
        <v>238</v>
      </c>
      <c r="M86" s="1" t="s">
        <v>362</v>
      </c>
    </row>
    <row r="87" spans="1:13" x14ac:dyDescent="0.25">
      <c r="A87" s="8">
        <v>45298</v>
      </c>
      <c r="B87" s="1" t="s">
        <v>298</v>
      </c>
      <c r="C87" s="1" t="s">
        <v>69</v>
      </c>
      <c r="D87" s="1" t="s">
        <v>80</v>
      </c>
      <c r="E87" s="1" t="s">
        <v>82</v>
      </c>
      <c r="F87" s="1" t="s">
        <v>112</v>
      </c>
      <c r="G87" s="1" t="s">
        <v>163</v>
      </c>
      <c r="H87" s="1">
        <v>57</v>
      </c>
      <c r="I87" s="1">
        <v>2.5</v>
      </c>
      <c r="J87" s="1">
        <f>Table1[[#This Row],[QUANTITY]]*Table1[[#This Row],[PRICE(INR)]]</f>
        <v>142.5</v>
      </c>
      <c r="K87" s="1" t="s">
        <v>232</v>
      </c>
      <c r="L87" s="1" t="s">
        <v>237</v>
      </c>
      <c r="M87" s="1" t="s">
        <v>363</v>
      </c>
    </row>
    <row r="88" spans="1:13" x14ac:dyDescent="0.25">
      <c r="A88" s="8">
        <v>45329</v>
      </c>
      <c r="B88" s="1" t="s">
        <v>299</v>
      </c>
      <c r="C88" s="1" t="s">
        <v>70</v>
      </c>
      <c r="D88" s="1" t="s">
        <v>80</v>
      </c>
      <c r="E88" s="1" t="s">
        <v>82</v>
      </c>
      <c r="F88" s="1" t="s">
        <v>84</v>
      </c>
      <c r="G88" s="1" t="s">
        <v>130</v>
      </c>
      <c r="H88" s="1">
        <v>32</v>
      </c>
      <c r="I88" s="1">
        <v>1.2</v>
      </c>
      <c r="J88" s="1">
        <f>Table1[[#This Row],[QUANTITY]]*Table1[[#This Row],[PRICE(INR)]]</f>
        <v>38.4</v>
      </c>
      <c r="K88" s="1" t="s">
        <v>233</v>
      </c>
      <c r="L88" s="1" t="s">
        <v>237</v>
      </c>
      <c r="M88" s="1" t="s">
        <v>363</v>
      </c>
    </row>
    <row r="89" spans="1:13" x14ac:dyDescent="0.25">
      <c r="A89" s="8">
        <v>45358</v>
      </c>
      <c r="B89" s="1" t="s">
        <v>300</v>
      </c>
      <c r="C89" s="1" t="s">
        <v>71</v>
      </c>
      <c r="D89" s="1" t="s">
        <v>79</v>
      </c>
      <c r="E89" s="1" t="s">
        <v>82</v>
      </c>
      <c r="F89" s="1" t="s">
        <v>126</v>
      </c>
      <c r="G89" s="1" t="s">
        <v>162</v>
      </c>
      <c r="H89" s="1">
        <v>98</v>
      </c>
      <c r="I89" s="1">
        <v>3</v>
      </c>
      <c r="J89" s="1">
        <f>Table1[[#This Row],[QUANTITY]]*Table1[[#This Row],[PRICE(INR)]]</f>
        <v>294</v>
      </c>
      <c r="K89" s="1" t="s">
        <v>198</v>
      </c>
      <c r="L89" s="1" t="s">
        <v>236</v>
      </c>
      <c r="M89" s="1" t="s">
        <v>363</v>
      </c>
    </row>
    <row r="90" spans="1:13" x14ac:dyDescent="0.25">
      <c r="A90" s="1" t="s">
        <v>346</v>
      </c>
      <c r="B90" s="1" t="s">
        <v>301</v>
      </c>
      <c r="C90" s="1" t="s">
        <v>72</v>
      </c>
      <c r="D90" s="1" t="s">
        <v>79</v>
      </c>
      <c r="E90" s="1" t="s">
        <v>82</v>
      </c>
      <c r="F90" s="1" t="s">
        <v>94</v>
      </c>
      <c r="G90" s="1" t="s">
        <v>140</v>
      </c>
      <c r="H90" s="1">
        <v>56</v>
      </c>
      <c r="I90" s="1">
        <v>2.5</v>
      </c>
      <c r="J90" s="1">
        <f>Table1[[#This Row],[QUANTITY]]*Table1[[#This Row],[PRICE(INR)]]</f>
        <v>140</v>
      </c>
      <c r="K90" s="1" t="s">
        <v>193</v>
      </c>
      <c r="L90" s="1" t="s">
        <v>239</v>
      </c>
      <c r="M90" s="1" t="s">
        <v>363</v>
      </c>
    </row>
    <row r="91" spans="1:13" x14ac:dyDescent="0.25">
      <c r="A91" s="8">
        <v>45419</v>
      </c>
      <c r="B91" s="1" t="s">
        <v>256</v>
      </c>
      <c r="C91" s="1" t="s">
        <v>12</v>
      </c>
      <c r="D91" s="1" t="s">
        <v>79</v>
      </c>
      <c r="E91" s="1" t="s">
        <v>82</v>
      </c>
      <c r="F91" s="1" t="s">
        <v>126</v>
      </c>
      <c r="G91" s="1" t="s">
        <v>162</v>
      </c>
      <c r="H91" s="1">
        <v>45</v>
      </c>
      <c r="I91" s="1">
        <v>2</v>
      </c>
      <c r="J91" s="1">
        <f>Table1[[#This Row],[QUANTITY]]*Table1[[#This Row],[PRICE(INR)]]</f>
        <v>90</v>
      </c>
      <c r="K91" s="1" t="s">
        <v>194</v>
      </c>
      <c r="L91" s="1" t="s">
        <v>239</v>
      </c>
      <c r="M91" s="1" t="s">
        <v>363</v>
      </c>
    </row>
    <row r="92" spans="1:13" x14ac:dyDescent="0.25">
      <c r="A92" s="1" t="s">
        <v>347</v>
      </c>
      <c r="B92" s="1" t="s">
        <v>252</v>
      </c>
      <c r="C92" s="1" t="s">
        <v>18</v>
      </c>
      <c r="D92" s="1" t="s">
        <v>79</v>
      </c>
      <c r="E92" s="1" t="s">
        <v>83</v>
      </c>
      <c r="F92" s="1" t="s">
        <v>119</v>
      </c>
      <c r="G92" s="1" t="s">
        <v>141</v>
      </c>
      <c r="H92" s="1">
        <v>80</v>
      </c>
      <c r="I92" s="1">
        <v>3</v>
      </c>
      <c r="J92" s="1">
        <f>Table1[[#This Row],[QUANTITY]]*Table1[[#This Row],[PRICE(INR)]]</f>
        <v>240</v>
      </c>
      <c r="K92" s="1" t="s">
        <v>221</v>
      </c>
      <c r="L92" s="1" t="s">
        <v>239</v>
      </c>
      <c r="M92" s="1" t="s">
        <v>363</v>
      </c>
    </row>
    <row r="93" spans="1:13" x14ac:dyDescent="0.25">
      <c r="A93" s="1" t="s">
        <v>348</v>
      </c>
      <c r="B93" s="1" t="s">
        <v>302</v>
      </c>
      <c r="C93" s="1" t="s">
        <v>73</v>
      </c>
      <c r="D93" s="1" t="s">
        <v>79</v>
      </c>
      <c r="E93" s="1" t="s">
        <v>82</v>
      </c>
      <c r="F93" s="1" t="s">
        <v>119</v>
      </c>
      <c r="G93" s="1" t="s">
        <v>141</v>
      </c>
      <c r="H93" s="1">
        <v>70</v>
      </c>
      <c r="I93" s="1">
        <v>3</v>
      </c>
      <c r="J93" s="1">
        <f>Table1[[#This Row],[QUANTITY]]*Table1[[#This Row],[PRICE(INR)]]</f>
        <v>210</v>
      </c>
      <c r="K93" s="1" t="s">
        <v>208</v>
      </c>
      <c r="L93" s="1" t="s">
        <v>236</v>
      </c>
      <c r="M93" s="1" t="s">
        <v>363</v>
      </c>
    </row>
    <row r="94" spans="1:13" x14ac:dyDescent="0.25">
      <c r="A94" s="1" t="s">
        <v>349</v>
      </c>
      <c r="B94" s="1" t="s">
        <v>303</v>
      </c>
      <c r="C94" s="1" t="s">
        <v>74</v>
      </c>
      <c r="D94" s="1" t="s">
        <v>79</v>
      </c>
      <c r="E94" s="1" t="s">
        <v>82</v>
      </c>
      <c r="F94" s="1" t="s">
        <v>88</v>
      </c>
      <c r="G94" s="1" t="s">
        <v>161</v>
      </c>
      <c r="H94" s="1">
        <v>52</v>
      </c>
      <c r="I94" s="1">
        <v>3</v>
      </c>
      <c r="J94" s="1">
        <f>Table1[[#This Row],[QUANTITY]]*Table1[[#This Row],[PRICE(INR)]]</f>
        <v>156</v>
      </c>
      <c r="K94" s="1" t="s">
        <v>210</v>
      </c>
      <c r="L94" s="1" t="s">
        <v>237</v>
      </c>
      <c r="M94" s="1" t="s">
        <v>363</v>
      </c>
    </row>
    <row r="95" spans="1:13" x14ac:dyDescent="0.25">
      <c r="A95" s="1" t="s">
        <v>350</v>
      </c>
      <c r="B95" s="1" t="s">
        <v>304</v>
      </c>
      <c r="C95" s="1" t="s">
        <v>43</v>
      </c>
      <c r="D95" s="1" t="s">
        <v>79</v>
      </c>
      <c r="E95" s="1" t="s">
        <v>82</v>
      </c>
      <c r="F95" s="1" t="s">
        <v>128</v>
      </c>
      <c r="G95" s="1" t="s">
        <v>160</v>
      </c>
      <c r="H95" s="1">
        <v>203</v>
      </c>
      <c r="I95" s="1">
        <v>2</v>
      </c>
      <c r="J95" s="1">
        <f>Table1[[#This Row],[QUANTITY]]*Table1[[#This Row],[PRICE(INR)]]</f>
        <v>406</v>
      </c>
      <c r="K95" s="1" t="s">
        <v>234</v>
      </c>
      <c r="L95" s="1" t="s">
        <v>239</v>
      </c>
      <c r="M95" s="1" t="s">
        <v>363</v>
      </c>
    </row>
    <row r="96" spans="1:13" x14ac:dyDescent="0.25">
      <c r="A96" s="1" t="s">
        <v>351</v>
      </c>
      <c r="B96" s="1" t="s">
        <v>305</v>
      </c>
      <c r="C96" s="1" t="s">
        <v>75</v>
      </c>
      <c r="D96" s="1" t="s">
        <v>79</v>
      </c>
      <c r="E96" s="1" t="s">
        <v>82</v>
      </c>
      <c r="F96" s="1" t="s">
        <v>115</v>
      </c>
      <c r="G96" s="1" t="s">
        <v>159</v>
      </c>
      <c r="H96" s="1">
        <v>32</v>
      </c>
      <c r="I96" s="1">
        <v>1.5</v>
      </c>
      <c r="J96" s="1">
        <f>Table1[[#This Row],[QUANTITY]]*Table1[[#This Row],[PRICE(INR)]]</f>
        <v>48</v>
      </c>
      <c r="K96" s="1" t="s">
        <v>235</v>
      </c>
      <c r="L96" s="1" t="s">
        <v>238</v>
      </c>
      <c r="M96" s="1" t="s">
        <v>363</v>
      </c>
    </row>
    <row r="97" spans="1:13" x14ac:dyDescent="0.25">
      <c r="A97" s="1" t="s">
        <v>352</v>
      </c>
      <c r="B97" s="1" t="s">
        <v>306</v>
      </c>
      <c r="C97" s="1" t="s">
        <v>76</v>
      </c>
      <c r="D97" s="1" t="s">
        <v>80</v>
      </c>
      <c r="E97" s="1" t="s">
        <v>81</v>
      </c>
      <c r="F97" s="1" t="s">
        <v>129</v>
      </c>
      <c r="G97" s="1" t="s">
        <v>158</v>
      </c>
      <c r="H97" s="1">
        <v>15</v>
      </c>
      <c r="I97" s="1">
        <v>1.6</v>
      </c>
      <c r="J97" s="1">
        <f>Table1[[#This Row],[QUANTITY]]*Table1[[#This Row],[PRICE(INR)]]</f>
        <v>24</v>
      </c>
      <c r="K97" s="1" t="s">
        <v>216</v>
      </c>
      <c r="L97" s="1" t="s">
        <v>236</v>
      </c>
      <c r="M97" s="1" t="s">
        <v>363</v>
      </c>
    </row>
    <row r="98" spans="1:13" x14ac:dyDescent="0.25">
      <c r="A98" s="1" t="s">
        <v>353</v>
      </c>
      <c r="B98" s="1" t="s">
        <v>245</v>
      </c>
      <c r="C98" s="1" t="s">
        <v>11</v>
      </c>
      <c r="D98" s="1" t="s">
        <v>79</v>
      </c>
      <c r="E98" s="1" t="s">
        <v>81</v>
      </c>
      <c r="F98" s="1" t="s">
        <v>115</v>
      </c>
      <c r="G98" s="1" t="s">
        <v>157</v>
      </c>
      <c r="H98" s="1">
        <v>798</v>
      </c>
      <c r="I98" s="1">
        <v>2.2000000000000002</v>
      </c>
      <c r="J98" s="1">
        <f>Table1[[#This Row],[QUANTITY]]*Table1[[#This Row],[PRICE(INR)]]</f>
        <v>1755.6000000000001</v>
      </c>
      <c r="K98" s="1" t="s">
        <v>232</v>
      </c>
      <c r="L98" s="1" t="s">
        <v>237</v>
      </c>
      <c r="M98" s="1" t="s">
        <v>363</v>
      </c>
    </row>
    <row r="99" spans="1:13" x14ac:dyDescent="0.25">
      <c r="A99" s="10" t="s">
        <v>354</v>
      </c>
      <c r="B99" s="1" t="s">
        <v>257</v>
      </c>
      <c r="C99" s="1" t="s">
        <v>13</v>
      </c>
      <c r="D99" s="1" t="s">
        <v>79</v>
      </c>
      <c r="E99" s="1" t="s">
        <v>83</v>
      </c>
      <c r="F99" s="1" t="s">
        <v>105</v>
      </c>
      <c r="G99" s="1" t="s">
        <v>156</v>
      </c>
      <c r="H99" s="1">
        <v>211</v>
      </c>
      <c r="I99" s="1">
        <v>1.2</v>
      </c>
      <c r="J99" s="1">
        <f>Table1[[#This Row],[QUANTITY]]*Table1[[#This Row],[PRICE(INR)]]</f>
        <v>253.2</v>
      </c>
      <c r="K99" s="1" t="s">
        <v>206</v>
      </c>
      <c r="L99" s="1" t="s">
        <v>238</v>
      </c>
      <c r="M99" s="1" t="s">
        <v>363</v>
      </c>
    </row>
    <row r="100" spans="1:13" ht="18.75" customHeight="1" x14ac:dyDescent="0.25">
      <c r="A100" s="1" t="s">
        <v>355</v>
      </c>
      <c r="B100" s="39" t="s">
        <v>259</v>
      </c>
      <c r="C100" s="1" t="s">
        <v>17</v>
      </c>
      <c r="D100" s="1" t="s">
        <v>80</v>
      </c>
      <c r="E100" s="1" t="s">
        <v>81</v>
      </c>
      <c r="F100" s="1" t="s">
        <v>84</v>
      </c>
      <c r="G100" s="1" t="s">
        <v>130</v>
      </c>
      <c r="H100" s="1">
        <v>100</v>
      </c>
      <c r="I100" s="1">
        <v>1.2</v>
      </c>
      <c r="J100" s="1">
        <f>Table1[[#This Row],[QUANTITY]]*Table1[[#This Row],[PRICE(INR)]]</f>
        <v>120</v>
      </c>
      <c r="K100" s="1" t="s">
        <v>208</v>
      </c>
      <c r="L100" s="1" t="s">
        <v>239</v>
      </c>
      <c r="M100" s="1" t="s">
        <v>363</v>
      </c>
    </row>
    <row r="101" spans="1:13" ht="16.5" customHeight="1" x14ac:dyDescent="0.25">
      <c r="A101" s="40">
        <v>45501</v>
      </c>
      <c r="B101" s="41" t="s">
        <v>386</v>
      </c>
      <c r="C101" s="41" t="s">
        <v>387</v>
      </c>
      <c r="D101" s="41" t="s">
        <v>388</v>
      </c>
      <c r="E101" s="41" t="s">
        <v>389</v>
      </c>
      <c r="F101" s="41" t="s">
        <v>390</v>
      </c>
      <c r="G101" s="41" t="s">
        <v>391</v>
      </c>
      <c r="H101" s="41">
        <v>2</v>
      </c>
      <c r="I101" s="42">
        <v>3</v>
      </c>
      <c r="J101" s="43">
        <v>5</v>
      </c>
      <c r="K101" s="42" t="s">
        <v>392</v>
      </c>
      <c r="L101" s="44" t="s">
        <v>393</v>
      </c>
      <c r="M101" t="s">
        <v>388</v>
      </c>
    </row>
    <row r="102" spans="1:13" x14ac:dyDescent="0.25">
      <c r="A102" s="38"/>
      <c r="B102" s="31"/>
      <c r="C102" s="31"/>
      <c r="D102" s="31"/>
      <c r="E102" s="31"/>
      <c r="F102" s="31"/>
      <c r="G102" s="31"/>
      <c r="H102" s="31"/>
      <c r="I102" s="32"/>
      <c r="K102" s="32"/>
      <c r="L102" s="32"/>
    </row>
    <row r="103" spans="1:13" x14ac:dyDescent="0.25">
      <c r="A103" s="31"/>
      <c r="B103" s="31"/>
      <c r="C103" s="31"/>
      <c r="D103" s="31"/>
      <c r="E103" s="31"/>
      <c r="F103" s="31"/>
      <c r="G103" s="31"/>
      <c r="H103" s="31"/>
      <c r="I103" s="32"/>
      <c r="K103" s="32"/>
      <c r="L103" s="32"/>
    </row>
    <row r="104" spans="1:13" x14ac:dyDescent="0.25">
      <c r="A104" s="31"/>
      <c r="B104" s="31"/>
      <c r="C104" s="31"/>
      <c r="D104" s="31"/>
      <c r="E104" s="31"/>
      <c r="F104" s="31"/>
      <c r="G104" s="31"/>
      <c r="H104" s="31"/>
      <c r="I104" s="32"/>
      <c r="K104" s="32"/>
      <c r="L104" s="32"/>
    </row>
    <row r="105" spans="1:13" x14ac:dyDescent="0.25">
      <c r="A105" s="31"/>
      <c r="B105" s="31"/>
      <c r="C105" s="31"/>
      <c r="D105" s="31"/>
      <c r="E105" s="31"/>
      <c r="F105" s="31"/>
      <c r="G105" s="31"/>
      <c r="H105" s="31"/>
      <c r="I105" s="32"/>
      <c r="K105" s="32"/>
      <c r="L105" s="32"/>
    </row>
    <row r="106" spans="1:13" x14ac:dyDescent="0.25">
      <c r="A106" s="31"/>
      <c r="B106" s="31"/>
      <c r="C106" s="31"/>
      <c r="D106" s="31"/>
      <c r="E106" s="31"/>
      <c r="F106" s="31"/>
      <c r="G106" s="31"/>
      <c r="H106" s="31"/>
      <c r="I106" s="32"/>
      <c r="K106" s="32"/>
      <c r="L106" s="32"/>
    </row>
    <row r="107" spans="1:13" x14ac:dyDescent="0.25">
      <c r="A107" s="31"/>
      <c r="B107" s="31"/>
      <c r="C107" s="31"/>
      <c r="D107" s="31"/>
      <c r="E107" s="31"/>
      <c r="F107" s="31"/>
      <c r="G107" s="31"/>
      <c r="H107" s="31"/>
      <c r="I107" s="32"/>
      <c r="K107" s="32"/>
      <c r="L107" s="32"/>
    </row>
    <row r="108" spans="1:13" x14ac:dyDescent="0.25">
      <c r="A108" s="31"/>
      <c r="B108" s="31"/>
      <c r="C108" s="31"/>
      <c r="D108" s="31"/>
      <c r="E108" s="31"/>
      <c r="F108" s="31"/>
      <c r="G108" s="31"/>
      <c r="H108" s="31"/>
      <c r="I108" s="32"/>
      <c r="K108" s="32"/>
      <c r="L108" s="32"/>
    </row>
    <row r="109" spans="1:13" x14ac:dyDescent="0.25">
      <c r="A109" s="31"/>
      <c r="B109" s="31"/>
      <c r="C109" s="31"/>
      <c r="D109" s="31"/>
      <c r="E109" s="31"/>
      <c r="F109" s="31"/>
      <c r="G109" s="31"/>
      <c r="H109" s="31"/>
      <c r="I109" s="32"/>
      <c r="K109" s="32"/>
      <c r="L109" s="32"/>
    </row>
    <row r="110" spans="1:13" x14ac:dyDescent="0.25">
      <c r="A110" s="31"/>
      <c r="B110" s="31"/>
      <c r="C110" s="31"/>
      <c r="D110" s="31"/>
      <c r="E110" s="31"/>
      <c r="F110" s="31"/>
      <c r="G110" s="31"/>
      <c r="H110" s="31"/>
      <c r="I110" s="32"/>
      <c r="K110" s="32"/>
      <c r="L110" s="32"/>
    </row>
    <row r="111" spans="1:13" x14ac:dyDescent="0.25">
      <c r="A111" s="31"/>
      <c r="B111" s="31"/>
      <c r="C111" s="31"/>
      <c r="D111" s="31"/>
      <c r="E111" s="31"/>
      <c r="F111" s="31"/>
      <c r="G111" s="31"/>
      <c r="H111" s="31"/>
      <c r="I111" s="32"/>
      <c r="K111" s="32"/>
      <c r="L111" s="32"/>
    </row>
    <row r="112" spans="1:13" x14ac:dyDescent="0.25">
      <c r="A112" s="31"/>
      <c r="B112" s="31"/>
      <c r="C112" s="31"/>
      <c r="D112" s="31"/>
      <c r="E112" s="31"/>
      <c r="F112" s="31"/>
      <c r="G112" s="31"/>
      <c r="H112" s="31"/>
      <c r="I112" s="32"/>
      <c r="K112" s="32"/>
      <c r="L112" s="32"/>
    </row>
    <row r="113" spans="1:12" x14ac:dyDescent="0.25">
      <c r="A113" s="31"/>
      <c r="B113" s="31"/>
      <c r="C113" s="31"/>
      <c r="D113" s="31"/>
      <c r="E113" s="31"/>
      <c r="F113" s="31"/>
      <c r="G113" s="31"/>
      <c r="H113" s="31"/>
      <c r="I113" s="32"/>
      <c r="K113" s="32"/>
      <c r="L113" s="32"/>
    </row>
    <row r="114" spans="1:12" x14ac:dyDescent="0.25">
      <c r="A114" s="31"/>
      <c r="B114" s="31"/>
      <c r="C114" s="31"/>
      <c r="D114" s="31"/>
      <c r="E114" s="31"/>
      <c r="F114" s="31"/>
      <c r="G114" s="31"/>
      <c r="H114" s="31"/>
      <c r="I114" s="32"/>
      <c r="K114" s="32"/>
      <c r="L114" s="32"/>
    </row>
    <row r="115" spans="1:12" x14ac:dyDescent="0.25">
      <c r="A115" s="31"/>
      <c r="B115" s="31"/>
      <c r="C115" s="31"/>
      <c r="D115" s="31"/>
      <c r="E115" s="31"/>
      <c r="F115" s="31"/>
      <c r="G115" s="31"/>
      <c r="H115" s="31"/>
      <c r="I115" s="32"/>
      <c r="K115" s="32"/>
      <c r="L115" s="32"/>
    </row>
    <row r="116" spans="1:12" x14ac:dyDescent="0.25">
      <c r="A116" s="31"/>
      <c r="B116" s="31"/>
      <c r="C116" s="31"/>
      <c r="D116" s="31"/>
      <c r="E116" s="31"/>
      <c r="F116" s="31"/>
      <c r="G116" s="31"/>
      <c r="H116" s="31"/>
      <c r="I116" s="32"/>
      <c r="K116" s="32"/>
      <c r="L116" s="32"/>
    </row>
    <row r="117" spans="1:12" x14ac:dyDescent="0.25">
      <c r="A117" s="31"/>
      <c r="B117" s="31"/>
      <c r="C117" s="31"/>
      <c r="D117" s="31"/>
      <c r="E117" s="31"/>
      <c r="F117" s="31"/>
      <c r="G117" s="31"/>
      <c r="H117" s="31"/>
      <c r="I117" s="32"/>
      <c r="K117" s="32"/>
      <c r="L117" s="32"/>
    </row>
    <row r="118" spans="1:12" x14ac:dyDescent="0.25">
      <c r="A118" s="31"/>
      <c r="B118" s="31"/>
      <c r="C118" s="31"/>
      <c r="D118" s="31"/>
      <c r="E118" s="31"/>
      <c r="F118" s="31"/>
      <c r="G118" s="31"/>
      <c r="H118" s="31"/>
      <c r="I118" s="32"/>
      <c r="K118" s="32"/>
      <c r="L118" s="32"/>
    </row>
    <row r="119" spans="1:12" x14ac:dyDescent="0.25">
      <c r="A119" s="31"/>
      <c r="B119" s="31"/>
      <c r="C119" s="31"/>
      <c r="D119" s="31"/>
      <c r="E119" s="31"/>
      <c r="F119" s="31"/>
      <c r="G119" s="31"/>
      <c r="H119" s="31"/>
      <c r="I119" s="32"/>
      <c r="K119" s="32"/>
      <c r="L119" s="32"/>
    </row>
    <row r="120" spans="1:12" x14ac:dyDescent="0.25">
      <c r="A120" s="31"/>
      <c r="B120" s="31"/>
      <c r="C120" s="31"/>
      <c r="D120" s="31"/>
      <c r="E120" s="31"/>
      <c r="F120" s="31"/>
      <c r="G120" s="31"/>
      <c r="H120" s="31"/>
      <c r="I120" s="32"/>
      <c r="K120" s="32"/>
      <c r="L120" s="32"/>
    </row>
    <row r="121" spans="1:12" x14ac:dyDescent="0.25">
      <c r="A121" s="31"/>
      <c r="B121" s="31"/>
      <c r="C121" s="31"/>
      <c r="D121" s="31"/>
      <c r="E121" s="31"/>
      <c r="F121" s="31"/>
      <c r="G121" s="31"/>
      <c r="H121" s="31"/>
      <c r="I121" s="32"/>
      <c r="K121" s="32"/>
      <c r="L121" s="32"/>
    </row>
    <row r="122" spans="1:12" x14ac:dyDescent="0.25">
      <c r="A122" s="31"/>
      <c r="B122" s="31"/>
      <c r="C122" s="31"/>
      <c r="D122" s="31"/>
      <c r="E122" s="31"/>
      <c r="F122" s="31"/>
      <c r="G122" s="31"/>
      <c r="H122" s="31"/>
      <c r="I122" s="32"/>
      <c r="K122" s="32"/>
      <c r="L122" s="32"/>
    </row>
    <row r="123" spans="1:12" x14ac:dyDescent="0.25">
      <c r="A123" s="31"/>
      <c r="B123" s="31"/>
      <c r="C123" s="31"/>
      <c r="D123" s="31"/>
      <c r="E123" s="31"/>
      <c r="F123" s="31"/>
      <c r="G123" s="31"/>
      <c r="H123" s="31"/>
      <c r="I123" s="32"/>
      <c r="K123" s="32"/>
      <c r="L123" s="32"/>
    </row>
    <row r="124" spans="1:12" x14ac:dyDescent="0.25">
      <c r="A124" s="31"/>
      <c r="B124" s="31"/>
      <c r="C124" s="31"/>
      <c r="D124" s="31"/>
      <c r="E124" s="31"/>
      <c r="F124" s="31"/>
      <c r="G124" s="31"/>
      <c r="H124" s="31"/>
      <c r="I124" s="32"/>
      <c r="K124" s="32"/>
      <c r="L124" s="32"/>
    </row>
    <row r="125" spans="1:12" x14ac:dyDescent="0.25">
      <c r="A125" s="31"/>
      <c r="B125" s="31"/>
      <c r="C125" s="31"/>
      <c r="D125" s="31"/>
      <c r="E125" s="31"/>
      <c r="F125" s="31"/>
      <c r="G125" s="31"/>
      <c r="H125" s="31"/>
      <c r="I125" s="32"/>
      <c r="K125" s="32"/>
      <c r="L125" s="32"/>
    </row>
    <row r="126" spans="1:12" x14ac:dyDescent="0.25">
      <c r="A126" s="31"/>
      <c r="B126" s="31"/>
      <c r="C126" s="31"/>
      <c r="D126" s="31"/>
      <c r="E126" s="31"/>
      <c r="F126" s="31"/>
      <c r="G126" s="31"/>
      <c r="H126" s="31"/>
      <c r="I126" s="32"/>
      <c r="K126" s="32"/>
      <c r="L126" s="32"/>
    </row>
    <row r="127" spans="1:12" x14ac:dyDescent="0.25">
      <c r="A127" s="31"/>
      <c r="B127" s="31"/>
      <c r="C127" s="31"/>
      <c r="D127" s="31"/>
      <c r="E127" s="31"/>
      <c r="F127" s="31"/>
      <c r="G127" s="31"/>
      <c r="H127" s="31"/>
      <c r="I127" s="32"/>
      <c r="K127" s="32"/>
      <c r="L127" s="32"/>
    </row>
    <row r="128" spans="1:12" x14ac:dyDescent="0.25">
      <c r="A128" s="31"/>
      <c r="B128" s="31"/>
      <c r="C128" s="31"/>
      <c r="D128" s="31"/>
      <c r="E128" s="31"/>
      <c r="F128" s="31"/>
      <c r="G128" s="31"/>
      <c r="H128" s="31"/>
      <c r="I128" s="32"/>
      <c r="K128" s="32"/>
      <c r="L128" s="32"/>
    </row>
    <row r="129" spans="1:12" x14ac:dyDescent="0.25">
      <c r="A129" s="31"/>
      <c r="B129" s="31"/>
      <c r="C129" s="31"/>
      <c r="D129" s="31"/>
      <c r="E129" s="31"/>
      <c r="F129" s="31"/>
      <c r="G129" s="31"/>
      <c r="H129" s="31"/>
      <c r="I129" s="32"/>
      <c r="K129" s="32"/>
      <c r="L129" s="32"/>
    </row>
    <row r="130" spans="1:12" x14ac:dyDescent="0.25">
      <c r="A130" s="31"/>
      <c r="B130" s="31"/>
      <c r="C130" s="31"/>
      <c r="D130" s="31"/>
      <c r="E130" s="31"/>
      <c r="F130" s="31"/>
      <c r="G130" s="31"/>
      <c r="H130" s="31"/>
      <c r="I130" s="32"/>
      <c r="K130" s="32"/>
      <c r="L130" s="32"/>
    </row>
    <row r="131" spans="1:12" x14ac:dyDescent="0.25">
      <c r="A131" s="31"/>
      <c r="B131" s="31"/>
      <c r="C131" s="31"/>
      <c r="D131" s="31"/>
      <c r="E131" s="31"/>
      <c r="F131" s="31"/>
      <c r="G131" s="31"/>
      <c r="H131" s="31"/>
      <c r="I131" s="32"/>
      <c r="K131" s="32"/>
      <c r="L131" s="32"/>
    </row>
    <row r="132" spans="1:12" x14ac:dyDescent="0.25">
      <c r="A132" s="31"/>
      <c r="B132" s="31"/>
      <c r="C132" s="31"/>
      <c r="D132" s="31"/>
      <c r="E132" s="31"/>
      <c r="F132" s="31"/>
      <c r="G132" s="31"/>
      <c r="H132" s="31"/>
      <c r="I132" s="32"/>
      <c r="K132" s="32"/>
      <c r="L132" s="32"/>
    </row>
    <row r="133" spans="1:12" x14ac:dyDescent="0.25">
      <c r="A133" s="31"/>
      <c r="B133" s="31"/>
      <c r="C133" s="31"/>
      <c r="D133" s="31"/>
      <c r="E133" s="31"/>
      <c r="F133" s="31"/>
      <c r="G133" s="31"/>
      <c r="H133" s="31"/>
      <c r="I133" s="32"/>
      <c r="K133" s="32"/>
      <c r="L133" s="32"/>
    </row>
    <row r="134" spans="1:12" x14ac:dyDescent="0.25">
      <c r="A134" s="31"/>
      <c r="B134" s="31"/>
      <c r="C134" s="31"/>
      <c r="D134" s="31"/>
      <c r="E134" s="31"/>
      <c r="F134" s="31"/>
      <c r="G134" s="31"/>
      <c r="H134" s="31"/>
      <c r="I134" s="32"/>
      <c r="K134" s="32"/>
      <c r="L134" s="32"/>
    </row>
    <row r="135" spans="1:12" x14ac:dyDescent="0.25">
      <c r="A135" s="31"/>
      <c r="B135" s="31"/>
      <c r="C135" s="31"/>
      <c r="D135" s="31"/>
      <c r="E135" s="31"/>
      <c r="F135" s="31"/>
      <c r="G135" s="31"/>
      <c r="H135" s="31"/>
      <c r="I135" s="32"/>
      <c r="K135" s="32"/>
      <c r="L135" s="32"/>
    </row>
    <row r="136" spans="1:12" x14ac:dyDescent="0.25">
      <c r="A136" s="31"/>
      <c r="B136" s="31"/>
      <c r="C136" s="31"/>
      <c r="D136" s="31"/>
      <c r="E136" s="31"/>
      <c r="F136" s="31"/>
      <c r="G136" s="31"/>
      <c r="H136" s="31"/>
      <c r="I136" s="32"/>
      <c r="K136" s="32"/>
      <c r="L136" s="32"/>
    </row>
    <row r="137" spans="1:12" x14ac:dyDescent="0.25">
      <c r="A137" s="31"/>
      <c r="B137" s="31"/>
      <c r="C137" s="31"/>
      <c r="D137" s="31"/>
      <c r="E137" s="31"/>
      <c r="F137" s="31"/>
      <c r="G137" s="31"/>
      <c r="H137" s="31"/>
      <c r="I137" s="32"/>
      <c r="K137" s="32"/>
      <c r="L137" s="32"/>
    </row>
    <row r="138" spans="1:12" x14ac:dyDescent="0.25">
      <c r="A138" s="31"/>
      <c r="B138" s="31"/>
      <c r="C138" s="31"/>
      <c r="D138" s="31"/>
      <c r="E138" s="31"/>
      <c r="F138" s="31"/>
      <c r="G138" s="31"/>
      <c r="H138" s="31"/>
      <c r="I138" s="32"/>
      <c r="K138" s="32"/>
      <c r="L138" s="32"/>
    </row>
    <row r="139" spans="1:12" x14ac:dyDescent="0.25">
      <c r="A139" s="31"/>
      <c r="B139" s="31"/>
      <c r="C139" s="31"/>
      <c r="D139" s="31"/>
      <c r="E139" s="31"/>
      <c r="F139" s="31"/>
      <c r="G139" s="31"/>
      <c r="H139" s="31"/>
      <c r="I139" s="32"/>
      <c r="K139" s="32"/>
      <c r="L139" s="32"/>
    </row>
    <row r="140" spans="1:12" x14ac:dyDescent="0.25">
      <c r="A140" s="31"/>
      <c r="B140" s="31"/>
      <c r="C140" s="31"/>
      <c r="D140" s="31"/>
      <c r="E140" s="31"/>
      <c r="F140" s="31"/>
      <c r="G140" s="31"/>
      <c r="H140" s="31"/>
      <c r="I140" s="32"/>
      <c r="K140" s="32"/>
      <c r="L140" s="32"/>
    </row>
    <row r="141" spans="1:12" x14ac:dyDescent="0.25">
      <c r="A141" s="31"/>
      <c r="B141" s="31"/>
      <c r="C141" s="31"/>
      <c r="D141" s="31"/>
      <c r="E141" s="31"/>
      <c r="F141" s="31"/>
      <c r="G141" s="31"/>
      <c r="H141" s="31"/>
      <c r="I141" s="32"/>
      <c r="K141" s="32"/>
      <c r="L141" s="32"/>
    </row>
    <row r="142" spans="1:12" x14ac:dyDescent="0.25">
      <c r="A142" s="31"/>
      <c r="B142" s="31"/>
      <c r="C142" s="31"/>
      <c r="D142" s="31"/>
      <c r="E142" s="31"/>
      <c r="F142" s="31"/>
      <c r="G142" s="31"/>
      <c r="H142" s="31"/>
      <c r="I142" s="32"/>
      <c r="K142" s="32"/>
      <c r="L142" s="32"/>
    </row>
    <row r="143" spans="1:12" x14ac:dyDescent="0.25">
      <c r="A143" s="38"/>
      <c r="B143" s="31"/>
      <c r="C143" s="31"/>
      <c r="D143" s="31"/>
      <c r="E143" s="31"/>
      <c r="F143" s="31"/>
      <c r="G143" s="31"/>
      <c r="H143" s="31"/>
      <c r="I143" s="32"/>
      <c r="K143" s="32"/>
      <c r="L143" s="32"/>
    </row>
    <row r="144" spans="1:12" x14ac:dyDescent="0.25">
      <c r="A144" s="38"/>
      <c r="B144" s="31"/>
      <c r="C144" s="31"/>
      <c r="D144" s="31"/>
      <c r="E144" s="31"/>
      <c r="F144" s="31"/>
      <c r="G144" s="31"/>
      <c r="H144" s="31"/>
      <c r="I144" s="32"/>
      <c r="K144" s="32"/>
      <c r="L144" s="32"/>
    </row>
    <row r="145" spans="1:1" x14ac:dyDescent="0.25">
      <c r="A145" s="15"/>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13</xdr:col>
                    <xdr:colOff>142875</xdr:colOff>
                    <xdr:row>3</xdr:row>
                    <xdr:rowOff>38100</xdr:rowOff>
                  </from>
                  <to>
                    <xdr:col>16</xdr:col>
                    <xdr:colOff>314325</xdr:colOff>
                    <xdr:row>5</xdr:row>
                    <xdr:rowOff>28575</xdr:rowOff>
                  </to>
                </anchor>
              </controlPr>
            </control>
          </mc:Choice>
        </mc:AlternateContent>
      </controls>
    </mc:Choice>
  </mc:AlternateContent>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680DC-33AC-47A4-92FF-629BD9A374EF}">
  <sheetPr codeName="Sheet7"/>
  <dimension ref="C5:O6"/>
  <sheetViews>
    <sheetView zoomScale="80" zoomScaleNormal="80" workbookViewId="0">
      <selection activeCell="F6" sqref="F6"/>
    </sheetView>
  </sheetViews>
  <sheetFormatPr defaultRowHeight="15" x14ac:dyDescent="0.25"/>
  <cols>
    <col min="1" max="1" width="9.140625" style="4"/>
    <col min="2" max="2" width="10.42578125" style="4" customWidth="1"/>
    <col min="3" max="3" width="9.140625" style="4"/>
    <col min="4" max="4" width="12.85546875" style="4" bestFit="1" customWidth="1"/>
    <col min="5" max="5" width="12.7109375" style="4" bestFit="1" customWidth="1"/>
    <col min="6" max="6" width="9.140625" style="4"/>
    <col min="7" max="7" width="14.28515625" style="4" customWidth="1"/>
    <col min="8" max="8" width="8.140625" style="4" customWidth="1"/>
    <col min="9" max="9" width="9.140625" style="4"/>
    <col min="10" max="10" width="9.7109375" style="4" customWidth="1"/>
    <col min="11" max="11" width="5" style="4" customWidth="1"/>
    <col min="12" max="13" width="9.140625" style="4"/>
    <col min="14" max="14" width="8.5703125" style="4" customWidth="1"/>
    <col min="15" max="15" width="1.7109375" style="4" customWidth="1"/>
    <col min="16" max="16384" width="9.140625" style="4"/>
  </cols>
  <sheetData>
    <row r="5" spans="3:15" x14ac:dyDescent="0.25">
      <c r="C5" s="11" t="s">
        <v>367</v>
      </c>
      <c r="D5" s="11" t="s">
        <v>370</v>
      </c>
      <c r="E5" s="11"/>
      <c r="G5" s="47" t="s">
        <v>368</v>
      </c>
      <c r="H5" s="47"/>
      <c r="I5" s="47"/>
      <c r="J5" s="14"/>
      <c r="K5" s="48" t="s">
        <v>369</v>
      </c>
      <c r="L5" s="48"/>
      <c r="M5" s="48"/>
      <c r="N5" s="48"/>
      <c r="O5" s="12"/>
    </row>
    <row r="6" spans="3:15" x14ac:dyDescent="0.25">
      <c r="C6" s="11"/>
      <c r="D6" s="46">
        <v>55413.19999999999</v>
      </c>
      <c r="E6" s="11"/>
      <c r="G6" s="49" t="str">
        <f>INDEX(Sheet11!G23:H88,MATCH(Sheet11!H91,Sheet11!H23:H88,0),1)</f>
        <v>FATHIMA</v>
      </c>
      <c r="H6" s="49"/>
      <c r="I6" s="49"/>
      <c r="J6" s="14"/>
      <c r="K6" s="13"/>
      <c r="L6" s="50" t="str">
        <f>INDEX(Sheet11!C12:D74,MATCH(GETPIVOTDATA("SALES",Sheet11!$C$11,"PRODUCT NAME","GROUND BEEF"),Sheet11!D12:D74,0),1)</f>
        <v>GROUND BEEF</v>
      </c>
      <c r="M6" s="50"/>
      <c r="N6" s="50"/>
      <c r="O6" s="12"/>
    </row>
  </sheetData>
  <mergeCells count="4">
    <mergeCell ref="G5:I5"/>
    <mergeCell ref="K5:N5"/>
    <mergeCell ref="G6:I6"/>
    <mergeCell ref="L6:N6"/>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ASHBOARD_Button1_Click">
                <anchor moveWithCells="1" sizeWithCells="1">
                  <from>
                    <xdr:col>17</xdr:col>
                    <xdr:colOff>200025</xdr:colOff>
                    <xdr:row>14</xdr:row>
                    <xdr:rowOff>38100</xdr:rowOff>
                  </from>
                  <to>
                    <xdr:col>18</xdr:col>
                    <xdr:colOff>523875</xdr:colOff>
                    <xdr:row>16</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10A12-4AF1-450B-ABCB-5DEA22057675}">
  <sheetPr codeName="Sheet5"/>
  <dimension ref="A1"/>
  <sheetViews>
    <sheetView zoomScale="90" zoomScaleNormal="90" workbookViewId="0"/>
  </sheetViews>
  <sheetFormatPr defaultRowHeight="15" x14ac:dyDescent="0.25"/>
  <cols>
    <col min="1" max="16384" width="9.140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7667F-4115-4476-B5BD-7838197F2E92}">
  <sheetPr codeName="Sheet6"/>
  <dimension ref="A1"/>
  <sheetViews>
    <sheetView zoomScaleNormal="100" workbookViewId="0"/>
  </sheetViews>
  <sheetFormatPr defaultRowHeight="15" x14ac:dyDescent="0.25"/>
  <cols>
    <col min="1" max="16384" width="9.140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AE4D-247D-4911-AF05-06D53EC5CD55}">
  <sheetPr codeName="Sheet8"/>
  <dimension ref="A1"/>
  <sheetViews>
    <sheetView zoomScaleNormal="100" workbookViewId="0"/>
  </sheetViews>
  <sheetFormatPr defaultRowHeight="15" x14ac:dyDescent="0.25"/>
  <cols>
    <col min="1" max="16384" width="9.140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60C7A-9533-44AA-9E3F-74DE1CC39342}">
  <sheetPr codeName="Sheet9"/>
  <dimension ref="A1"/>
  <sheetViews>
    <sheetView zoomScale="90" zoomScaleNormal="90" workbookViewId="0"/>
  </sheetViews>
  <sheetFormatPr defaultRowHeight="15" x14ac:dyDescent="0.25"/>
  <cols>
    <col min="1" max="16384" width="9.140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2E365-ADE6-4313-A922-50B68C36DE7E}">
  <sheetPr codeName="Sheet10"/>
  <dimension ref="A1"/>
  <sheetViews>
    <sheetView zoomScale="90" zoomScaleNormal="90" workbookViewId="0"/>
  </sheetViews>
  <sheetFormatPr defaultRowHeight="15" x14ac:dyDescent="0.25"/>
  <cols>
    <col min="1" max="16384" width="9.140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718ED-CEFF-47DB-A41D-4465922CA0CC}">
  <sheetPr codeName="Sheet12"/>
  <dimension ref="C5:D16"/>
  <sheetViews>
    <sheetView zoomScale="110" zoomScaleNormal="110" workbookViewId="0"/>
  </sheetViews>
  <sheetFormatPr defaultRowHeight="15" x14ac:dyDescent="0.25"/>
  <cols>
    <col min="1" max="2" width="9.140625" style="16"/>
    <col min="3" max="3" width="18.42578125" style="16" bestFit="1" customWidth="1"/>
    <col min="4" max="4" width="13.42578125" style="16" bestFit="1" customWidth="1"/>
    <col min="5" max="16384" width="9.140625" style="16"/>
  </cols>
  <sheetData>
    <row r="5" spans="3:4" ht="18" customHeight="1" x14ac:dyDescent="0.25">
      <c r="C5" s="37" t="s">
        <v>366</v>
      </c>
      <c r="D5" s="37" t="s">
        <v>364</v>
      </c>
    </row>
    <row r="6" spans="3:4" ht="18" customHeight="1" x14ac:dyDescent="0.25">
      <c r="C6" s="37" t="s">
        <v>189</v>
      </c>
      <c r="D6" s="37">
        <v>4200</v>
      </c>
    </row>
    <row r="7" spans="3:4" ht="18" customHeight="1" x14ac:dyDescent="0.25">
      <c r="C7" s="37" t="s">
        <v>188</v>
      </c>
      <c r="D7" s="37">
        <v>3000</v>
      </c>
    </row>
    <row r="8" spans="3:4" ht="18" customHeight="1" x14ac:dyDescent="0.25">
      <c r="C8" s="37" t="s">
        <v>141</v>
      </c>
      <c r="D8" s="37">
        <v>2976</v>
      </c>
    </row>
    <row r="9" spans="3:4" ht="18" customHeight="1" x14ac:dyDescent="0.25">
      <c r="C9" s="37" t="s">
        <v>180</v>
      </c>
      <c r="D9" s="37">
        <v>2505</v>
      </c>
    </row>
    <row r="10" spans="3:4" ht="18" customHeight="1" x14ac:dyDescent="0.25">
      <c r="C10" s="37" t="s">
        <v>182</v>
      </c>
      <c r="D10" s="37">
        <v>2406</v>
      </c>
    </row>
    <row r="11" spans="3:4" ht="18" customHeight="1" x14ac:dyDescent="0.25">
      <c r="C11" s="37" t="s">
        <v>130</v>
      </c>
      <c r="D11" s="37">
        <v>2091.1999999999998</v>
      </c>
    </row>
    <row r="12" spans="3:4" ht="18" customHeight="1" x14ac:dyDescent="0.25">
      <c r="C12" s="37" t="s">
        <v>155</v>
      </c>
      <c r="D12" s="37">
        <v>2021.4</v>
      </c>
    </row>
    <row r="13" spans="3:4" ht="18" customHeight="1" x14ac:dyDescent="0.25">
      <c r="C13" s="37" t="s">
        <v>150</v>
      </c>
      <c r="D13" s="37">
        <v>1802</v>
      </c>
    </row>
    <row r="14" spans="3:4" ht="18" customHeight="1" x14ac:dyDescent="0.25">
      <c r="C14" s="37" t="s">
        <v>157</v>
      </c>
      <c r="D14" s="37">
        <v>1755.6000000000001</v>
      </c>
    </row>
    <row r="15" spans="3:4" ht="18" customHeight="1" x14ac:dyDescent="0.25">
      <c r="C15" s="37" t="s">
        <v>139</v>
      </c>
      <c r="D15" s="37">
        <v>1736</v>
      </c>
    </row>
    <row r="16" spans="3:4" ht="18" customHeight="1" x14ac:dyDescent="0.25"/>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575C9-2940-4100-AF0C-A0D45E1671AD}">
  <sheetPr codeName="Sheet13"/>
  <dimension ref="B4:D15"/>
  <sheetViews>
    <sheetView zoomScaleNormal="100" workbookViewId="0"/>
  </sheetViews>
  <sheetFormatPr defaultRowHeight="15" x14ac:dyDescent="0.25"/>
  <cols>
    <col min="2" max="2" width="2.7109375" customWidth="1"/>
    <col min="3" max="3" width="15.7109375" bestFit="1" customWidth="1"/>
    <col min="4" max="4" width="13.42578125" bestFit="1" customWidth="1"/>
  </cols>
  <sheetData>
    <row r="4" spans="2:4" ht="2.25" customHeight="1" x14ac:dyDescent="0.25"/>
    <row r="5" spans="2:4" x14ac:dyDescent="0.25">
      <c r="C5" s="17" t="s">
        <v>366</v>
      </c>
      <c r="D5" s="17" t="s">
        <v>364</v>
      </c>
    </row>
    <row r="6" spans="2:4" x14ac:dyDescent="0.25">
      <c r="C6" s="19" t="s">
        <v>61</v>
      </c>
      <c r="D6" s="33">
        <v>4200</v>
      </c>
    </row>
    <row r="7" spans="2:4" x14ac:dyDescent="0.25">
      <c r="C7" s="21" t="s">
        <v>14</v>
      </c>
      <c r="D7" s="34">
        <v>4200</v>
      </c>
    </row>
    <row r="8" spans="2:4" x14ac:dyDescent="0.25">
      <c r="C8" s="21" t="s">
        <v>11</v>
      </c>
      <c r="D8" s="34">
        <v>3479.8</v>
      </c>
    </row>
    <row r="9" spans="2:4" x14ac:dyDescent="0.25">
      <c r="C9" s="21" t="s">
        <v>60</v>
      </c>
      <c r="D9" s="34">
        <v>3000</v>
      </c>
    </row>
    <row r="10" spans="2:4" x14ac:dyDescent="0.25">
      <c r="C10" s="21" t="s">
        <v>50</v>
      </c>
      <c r="D10" s="34">
        <v>2505</v>
      </c>
    </row>
    <row r="11" spans="2:4" x14ac:dyDescent="0.25">
      <c r="B11" s="18"/>
      <c r="C11" s="21" t="s">
        <v>28</v>
      </c>
      <c r="D11" s="34">
        <v>2493</v>
      </c>
    </row>
    <row r="12" spans="2:4" x14ac:dyDescent="0.25">
      <c r="C12" s="21" t="s">
        <v>54</v>
      </c>
      <c r="D12" s="34">
        <v>2406</v>
      </c>
    </row>
    <row r="13" spans="2:4" x14ac:dyDescent="0.25">
      <c r="C13" s="21" t="s">
        <v>19</v>
      </c>
      <c r="D13" s="34">
        <v>2322</v>
      </c>
    </row>
    <row r="14" spans="2:4" x14ac:dyDescent="0.25">
      <c r="C14" s="21" t="s">
        <v>36</v>
      </c>
      <c r="D14" s="34">
        <v>2030.8</v>
      </c>
    </row>
    <row r="15" spans="2:4" x14ac:dyDescent="0.25">
      <c r="C15" s="20" t="s">
        <v>55</v>
      </c>
      <c r="D15" s="35">
        <v>1628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584AC-BEBC-4D0F-9443-9827FE10CBA0}">
  <sheetPr codeName="Sheet14"/>
  <dimension ref="A1:L66"/>
  <sheetViews>
    <sheetView zoomScale="50" zoomScaleNormal="50" workbookViewId="0"/>
  </sheetViews>
  <sheetFormatPr defaultRowHeight="15" x14ac:dyDescent="0.25"/>
  <cols>
    <col min="1" max="1" width="12.5703125" customWidth="1"/>
    <col min="2" max="2" width="19.7109375" customWidth="1"/>
    <col min="3" max="3" width="11.85546875" customWidth="1"/>
    <col min="4" max="4" width="12.7109375" customWidth="1"/>
    <col min="5" max="5" width="21" customWidth="1"/>
    <col min="6" max="6" width="12.5703125" customWidth="1"/>
    <col min="7" max="7" width="9.140625" customWidth="1"/>
    <col min="8" max="8" width="19" customWidth="1"/>
    <col min="9" max="9" width="16.28515625" customWidth="1"/>
    <col min="10" max="10" width="14.85546875" customWidth="1"/>
    <col min="11" max="11" width="24.140625" customWidth="1"/>
    <col min="12" max="12" width="28.42578125" customWidth="1"/>
  </cols>
  <sheetData>
    <row r="1" spans="1:12" ht="41.25" customHeight="1" x14ac:dyDescent="0.25"/>
    <row r="2" spans="1:12" x14ac:dyDescent="0.25">
      <c r="A2" s="22" t="s">
        <v>0</v>
      </c>
      <c r="B2" s="1" t="s">
        <v>382</v>
      </c>
      <c r="C2" s="1" t="s">
        <v>4</v>
      </c>
      <c r="D2" s="1" t="s">
        <v>0</v>
      </c>
      <c r="E2" s="1" t="s">
        <v>380</v>
      </c>
      <c r="F2" s="1" t="s">
        <v>4</v>
      </c>
      <c r="G2" s="1" t="s">
        <v>384</v>
      </c>
      <c r="H2" s="1" t="s">
        <v>380</v>
      </c>
      <c r="I2" s="1" t="s">
        <v>381</v>
      </c>
      <c r="J2" s="1" t="s">
        <v>240</v>
      </c>
      <c r="K2" s="1" t="s">
        <v>383</v>
      </c>
      <c r="L2" s="1" t="s">
        <v>385</v>
      </c>
    </row>
    <row r="3" spans="1:12" x14ac:dyDescent="0.25">
      <c r="A3" s="23">
        <v>45292</v>
      </c>
      <c r="B3" s="1" t="s">
        <v>148</v>
      </c>
      <c r="C3" s="1">
        <v>50</v>
      </c>
      <c r="D3" s="27">
        <v>45292</v>
      </c>
      <c r="E3" s="1" t="s">
        <v>131</v>
      </c>
      <c r="F3" s="1">
        <v>25</v>
      </c>
      <c r="G3" s="1">
        <v>1</v>
      </c>
      <c r="H3" s="1" t="s">
        <v>148</v>
      </c>
      <c r="I3" s="1">
        <f>SUMIF(B3:B65,H3,C3:C65)</f>
        <v>50</v>
      </c>
      <c r="J3" s="1">
        <f>SUMIF(E3:E65,H3,F3:F65)</f>
        <v>0</v>
      </c>
      <c r="K3" s="1">
        <f>I3-J3</f>
        <v>50</v>
      </c>
      <c r="L3" s="1" t="str">
        <f>IF(K3&lt;=5,"PLEASE UPDATE STOCK"," ")</f>
        <v xml:space="preserve"> </v>
      </c>
    </row>
    <row r="4" spans="1:12" x14ac:dyDescent="0.25">
      <c r="A4" s="24">
        <v>45292</v>
      </c>
      <c r="B4" s="1" t="s">
        <v>131</v>
      </c>
      <c r="C4" s="1">
        <v>100</v>
      </c>
      <c r="D4" s="28">
        <v>45292</v>
      </c>
      <c r="E4" s="1" t="s">
        <v>192</v>
      </c>
      <c r="F4" s="1">
        <v>80</v>
      </c>
      <c r="G4" s="1">
        <v>2</v>
      </c>
      <c r="H4" s="1" t="s">
        <v>131</v>
      </c>
      <c r="I4" s="1">
        <f t="shared" ref="I4:I44" si="0">SUMIF(B4:B45,H4,C4:D45)</f>
        <v>100</v>
      </c>
      <c r="J4" s="1">
        <f t="shared" ref="J4:J44" si="1">SUMIF(E3:E43,H4,F3:F43)</f>
        <v>25</v>
      </c>
      <c r="K4" s="1">
        <f t="shared" ref="K4:K44" si="2">I4-J4</f>
        <v>75</v>
      </c>
      <c r="L4" s="1" t="str">
        <f t="shared" ref="L4:L44" si="3">IF(K4&lt;=5,"PLEASE UPDATE STOCK"," ")</f>
        <v xml:space="preserve"> </v>
      </c>
    </row>
    <row r="5" spans="1:12" x14ac:dyDescent="0.25">
      <c r="A5" s="23">
        <v>45323</v>
      </c>
      <c r="B5" s="1" t="s">
        <v>192</v>
      </c>
      <c r="C5" s="1">
        <v>40</v>
      </c>
      <c r="D5" s="27">
        <v>45323</v>
      </c>
      <c r="E5" s="1" t="s">
        <v>132</v>
      </c>
      <c r="F5" s="1">
        <v>30</v>
      </c>
      <c r="G5" s="1">
        <v>3</v>
      </c>
      <c r="H5" s="1" t="s">
        <v>192</v>
      </c>
      <c r="I5" s="1">
        <f t="shared" si="0"/>
        <v>40</v>
      </c>
      <c r="J5" s="1">
        <f t="shared" si="1"/>
        <v>80</v>
      </c>
      <c r="K5" s="1">
        <f t="shared" si="2"/>
        <v>-40</v>
      </c>
      <c r="L5" s="1" t="str">
        <f t="shared" si="3"/>
        <v>PLEASE UPDATE STOCK</v>
      </c>
    </row>
    <row r="6" spans="1:12" x14ac:dyDescent="0.25">
      <c r="A6" s="24">
        <v>45323</v>
      </c>
      <c r="B6" s="1" t="s">
        <v>132</v>
      </c>
      <c r="C6" s="1">
        <v>150</v>
      </c>
      <c r="D6" s="28">
        <v>45323</v>
      </c>
      <c r="E6" s="1" t="s">
        <v>149</v>
      </c>
      <c r="F6" s="1">
        <v>120</v>
      </c>
      <c r="G6" s="1">
        <v>4</v>
      </c>
      <c r="H6" s="1" t="s">
        <v>132</v>
      </c>
      <c r="I6" s="1">
        <f t="shared" si="0"/>
        <v>150</v>
      </c>
      <c r="J6" s="1">
        <f t="shared" si="1"/>
        <v>30</v>
      </c>
      <c r="K6" s="1">
        <f t="shared" si="2"/>
        <v>120</v>
      </c>
      <c r="L6" s="1" t="str">
        <f t="shared" si="3"/>
        <v xml:space="preserve"> </v>
      </c>
    </row>
    <row r="7" spans="1:12" x14ac:dyDescent="0.25">
      <c r="A7" s="23">
        <v>45323</v>
      </c>
      <c r="B7" s="1" t="s">
        <v>149</v>
      </c>
      <c r="C7" s="1">
        <v>200</v>
      </c>
      <c r="D7" s="27">
        <v>45323</v>
      </c>
      <c r="E7" s="1" t="s">
        <v>175</v>
      </c>
      <c r="F7" s="1">
        <v>150</v>
      </c>
      <c r="G7" s="1">
        <v>5</v>
      </c>
      <c r="H7" s="1" t="s">
        <v>149</v>
      </c>
      <c r="I7" s="1">
        <f t="shared" si="0"/>
        <v>200</v>
      </c>
      <c r="J7" s="1">
        <f t="shared" si="1"/>
        <v>120</v>
      </c>
      <c r="K7" s="1">
        <f t="shared" si="2"/>
        <v>80</v>
      </c>
      <c r="L7" s="1" t="str">
        <f t="shared" si="3"/>
        <v xml:space="preserve"> </v>
      </c>
    </row>
    <row r="8" spans="1:12" x14ac:dyDescent="0.25">
      <c r="A8" s="24">
        <v>45599</v>
      </c>
      <c r="B8" s="1" t="s">
        <v>175</v>
      </c>
      <c r="C8" s="1">
        <v>30</v>
      </c>
      <c r="D8" s="28">
        <v>45599</v>
      </c>
      <c r="E8" s="1" t="s">
        <v>151</v>
      </c>
      <c r="F8" s="1">
        <v>20</v>
      </c>
      <c r="G8" s="1">
        <v>6</v>
      </c>
      <c r="H8" s="1" t="s">
        <v>175</v>
      </c>
      <c r="I8" s="1">
        <f t="shared" si="0"/>
        <v>30</v>
      </c>
      <c r="J8" s="1">
        <f t="shared" si="1"/>
        <v>150</v>
      </c>
      <c r="K8" s="1">
        <f t="shared" si="2"/>
        <v>-120</v>
      </c>
      <c r="L8" s="1" t="str">
        <f t="shared" si="3"/>
        <v>PLEASE UPDATE STOCK</v>
      </c>
    </row>
    <row r="9" spans="1:12" x14ac:dyDescent="0.25">
      <c r="A9" s="23">
        <v>45629</v>
      </c>
      <c r="B9" s="1" t="s">
        <v>151</v>
      </c>
      <c r="C9" s="1">
        <v>25</v>
      </c>
      <c r="D9" s="27">
        <v>45629</v>
      </c>
      <c r="E9" s="1" t="s">
        <v>147</v>
      </c>
      <c r="F9" s="1">
        <v>10</v>
      </c>
      <c r="G9" s="1">
        <v>7</v>
      </c>
      <c r="H9" s="1" t="s">
        <v>151</v>
      </c>
      <c r="I9" s="1">
        <f t="shared" si="0"/>
        <v>25</v>
      </c>
      <c r="J9" s="1">
        <f t="shared" si="1"/>
        <v>20</v>
      </c>
      <c r="K9" s="1">
        <f t="shared" si="2"/>
        <v>5</v>
      </c>
      <c r="L9" s="1" t="str">
        <f t="shared" si="3"/>
        <v>PLEASE UPDATE STOCK</v>
      </c>
    </row>
    <row r="10" spans="1:12" x14ac:dyDescent="0.25">
      <c r="A10" s="25" t="s">
        <v>307</v>
      </c>
      <c r="B10" s="1" t="s">
        <v>147</v>
      </c>
      <c r="C10" s="1">
        <v>60</v>
      </c>
      <c r="D10" s="29" t="s">
        <v>307</v>
      </c>
      <c r="E10" s="1" t="s">
        <v>191</v>
      </c>
      <c r="F10" s="1">
        <v>40</v>
      </c>
      <c r="G10" s="1">
        <v>8</v>
      </c>
      <c r="H10" s="1" t="s">
        <v>147</v>
      </c>
      <c r="I10" s="1">
        <f t="shared" si="0"/>
        <v>60</v>
      </c>
      <c r="J10" s="1">
        <f t="shared" si="1"/>
        <v>10</v>
      </c>
      <c r="K10" s="1">
        <f t="shared" si="2"/>
        <v>50</v>
      </c>
      <c r="L10" s="1" t="str">
        <f t="shared" si="3"/>
        <v xml:space="preserve"> </v>
      </c>
    </row>
    <row r="11" spans="1:12" x14ac:dyDescent="0.25">
      <c r="A11" s="26" t="s">
        <v>308</v>
      </c>
      <c r="B11" s="1" t="s">
        <v>191</v>
      </c>
      <c r="C11" s="1">
        <v>80</v>
      </c>
      <c r="D11" s="30" t="s">
        <v>308</v>
      </c>
      <c r="E11" s="1" t="s">
        <v>136</v>
      </c>
      <c r="F11" s="1">
        <v>70</v>
      </c>
      <c r="G11" s="1">
        <v>9</v>
      </c>
      <c r="H11" s="1" t="s">
        <v>191</v>
      </c>
      <c r="I11" s="1">
        <f t="shared" si="0"/>
        <v>80</v>
      </c>
      <c r="J11" s="1">
        <f t="shared" si="1"/>
        <v>40</v>
      </c>
      <c r="K11" s="1">
        <f t="shared" si="2"/>
        <v>40</v>
      </c>
      <c r="L11" s="1" t="str">
        <f t="shared" si="3"/>
        <v xml:space="preserve"> </v>
      </c>
    </row>
    <row r="12" spans="1:12" x14ac:dyDescent="0.25">
      <c r="A12" s="23">
        <v>45295</v>
      </c>
      <c r="B12" s="1" t="s">
        <v>136</v>
      </c>
      <c r="C12" s="1">
        <v>45</v>
      </c>
      <c r="D12" s="27">
        <v>45295</v>
      </c>
      <c r="E12" s="1" t="s">
        <v>179</v>
      </c>
      <c r="F12" s="1">
        <v>30</v>
      </c>
      <c r="G12" s="1">
        <v>10</v>
      </c>
      <c r="H12" s="1" t="s">
        <v>136</v>
      </c>
      <c r="I12" s="1">
        <f t="shared" si="0"/>
        <v>45</v>
      </c>
      <c r="J12" s="1">
        <f t="shared" si="1"/>
        <v>70</v>
      </c>
      <c r="K12" s="1">
        <f t="shared" si="2"/>
        <v>-25</v>
      </c>
      <c r="L12" s="1" t="str">
        <f t="shared" si="3"/>
        <v>PLEASE UPDATE STOCK</v>
      </c>
    </row>
    <row r="13" spans="1:12" x14ac:dyDescent="0.25">
      <c r="A13" s="24">
        <v>45326</v>
      </c>
      <c r="B13" s="1" t="s">
        <v>179</v>
      </c>
      <c r="C13" s="1">
        <v>20</v>
      </c>
      <c r="D13" s="28">
        <v>45326</v>
      </c>
      <c r="E13" s="1" t="s">
        <v>144</v>
      </c>
      <c r="F13" s="1">
        <v>10</v>
      </c>
      <c r="G13" s="1">
        <v>11</v>
      </c>
      <c r="H13" s="1" t="s">
        <v>179</v>
      </c>
      <c r="I13" s="1">
        <f t="shared" si="0"/>
        <v>20</v>
      </c>
      <c r="J13" s="1">
        <f t="shared" si="1"/>
        <v>30</v>
      </c>
      <c r="K13" s="1">
        <f t="shared" si="2"/>
        <v>-10</v>
      </c>
      <c r="L13" s="1" t="str">
        <f t="shared" si="3"/>
        <v>PLEASE UPDATE STOCK</v>
      </c>
    </row>
    <row r="14" spans="1:12" x14ac:dyDescent="0.25">
      <c r="A14" s="23">
        <v>45355</v>
      </c>
      <c r="B14" s="1" t="s">
        <v>144</v>
      </c>
      <c r="C14" s="1">
        <v>100</v>
      </c>
      <c r="D14" s="27">
        <v>45355</v>
      </c>
      <c r="E14" s="1" t="s">
        <v>134</v>
      </c>
      <c r="F14" s="1">
        <v>70</v>
      </c>
      <c r="G14" s="1">
        <v>12</v>
      </c>
      <c r="H14" s="1" t="s">
        <v>144</v>
      </c>
      <c r="I14" s="1">
        <f t="shared" si="0"/>
        <v>100</v>
      </c>
      <c r="J14" s="1">
        <f t="shared" si="1"/>
        <v>10</v>
      </c>
      <c r="K14" s="1">
        <f t="shared" si="2"/>
        <v>90</v>
      </c>
      <c r="L14" s="1" t="str">
        <f t="shared" si="3"/>
        <v xml:space="preserve"> </v>
      </c>
    </row>
    <row r="15" spans="1:12" x14ac:dyDescent="0.25">
      <c r="A15" s="24">
        <v>45386</v>
      </c>
      <c r="B15" s="1" t="s">
        <v>134</v>
      </c>
      <c r="C15" s="1">
        <v>40</v>
      </c>
      <c r="D15" s="28">
        <v>45386</v>
      </c>
      <c r="E15" s="1" t="s">
        <v>186</v>
      </c>
      <c r="F15" s="1">
        <v>25</v>
      </c>
      <c r="G15" s="1">
        <v>13</v>
      </c>
      <c r="H15" s="1" t="s">
        <v>134</v>
      </c>
      <c r="I15" s="1">
        <f t="shared" si="0"/>
        <v>40</v>
      </c>
      <c r="J15" s="1">
        <f t="shared" si="1"/>
        <v>70</v>
      </c>
      <c r="K15" s="1">
        <f t="shared" si="2"/>
        <v>-30</v>
      </c>
      <c r="L15" s="1" t="str">
        <f t="shared" si="3"/>
        <v>PLEASE UPDATE STOCK</v>
      </c>
    </row>
    <row r="16" spans="1:12" x14ac:dyDescent="0.25">
      <c r="A16" s="23">
        <v>45416</v>
      </c>
      <c r="B16" s="1" t="s">
        <v>186</v>
      </c>
      <c r="C16" s="1">
        <v>50</v>
      </c>
      <c r="D16" s="27">
        <v>45416</v>
      </c>
      <c r="E16" s="1" t="s">
        <v>158</v>
      </c>
      <c r="F16" s="1">
        <v>40</v>
      </c>
      <c r="G16" s="1">
        <v>14</v>
      </c>
      <c r="H16" s="1" t="s">
        <v>186</v>
      </c>
      <c r="I16" s="1">
        <f t="shared" si="0"/>
        <v>50</v>
      </c>
      <c r="J16" s="1">
        <f t="shared" si="1"/>
        <v>25</v>
      </c>
      <c r="K16" s="1">
        <f t="shared" si="2"/>
        <v>25</v>
      </c>
      <c r="L16" s="1" t="str">
        <f t="shared" si="3"/>
        <v xml:space="preserve"> </v>
      </c>
    </row>
    <row r="17" spans="1:12" x14ac:dyDescent="0.25">
      <c r="A17" s="24">
        <v>45296</v>
      </c>
      <c r="B17" s="1" t="s">
        <v>158</v>
      </c>
      <c r="C17" s="1">
        <v>30</v>
      </c>
      <c r="D17" s="28">
        <v>45296</v>
      </c>
      <c r="E17" s="1" t="s">
        <v>159</v>
      </c>
      <c r="F17" s="1">
        <v>20</v>
      </c>
      <c r="G17" s="1">
        <v>15</v>
      </c>
      <c r="H17" s="1" t="s">
        <v>158</v>
      </c>
      <c r="I17" s="1">
        <f t="shared" si="0"/>
        <v>30</v>
      </c>
      <c r="J17" s="1">
        <f t="shared" si="1"/>
        <v>40</v>
      </c>
      <c r="K17" s="1">
        <f t="shared" si="2"/>
        <v>-10</v>
      </c>
      <c r="L17" s="1" t="str">
        <f t="shared" si="3"/>
        <v>PLEASE UPDATE STOCK</v>
      </c>
    </row>
    <row r="18" spans="1:12" x14ac:dyDescent="0.25">
      <c r="A18" s="23">
        <v>45327</v>
      </c>
      <c r="B18" s="1" t="s">
        <v>159</v>
      </c>
      <c r="C18" s="1">
        <v>25</v>
      </c>
      <c r="D18" s="27">
        <v>45327</v>
      </c>
      <c r="E18" s="1" t="s">
        <v>163</v>
      </c>
      <c r="F18" s="1">
        <v>15</v>
      </c>
      <c r="G18" s="1">
        <v>16</v>
      </c>
      <c r="H18" s="1" t="s">
        <v>159</v>
      </c>
      <c r="I18" s="1">
        <f t="shared" si="0"/>
        <v>25</v>
      </c>
      <c r="J18" s="1">
        <f t="shared" si="1"/>
        <v>20</v>
      </c>
      <c r="K18" s="1">
        <f t="shared" si="2"/>
        <v>5</v>
      </c>
      <c r="L18" s="1" t="str">
        <f t="shared" si="3"/>
        <v>PLEASE UPDATE STOCK</v>
      </c>
    </row>
    <row r="19" spans="1:12" x14ac:dyDescent="0.25">
      <c r="A19" s="24">
        <v>45356</v>
      </c>
      <c r="B19" s="1" t="s">
        <v>163</v>
      </c>
      <c r="C19" s="1">
        <v>40</v>
      </c>
      <c r="D19" s="28">
        <v>45356</v>
      </c>
      <c r="E19" s="1" t="s">
        <v>177</v>
      </c>
      <c r="F19" s="1">
        <v>25</v>
      </c>
      <c r="G19" s="1">
        <v>17</v>
      </c>
      <c r="H19" s="1" t="s">
        <v>163</v>
      </c>
      <c r="I19" s="1">
        <f t="shared" si="0"/>
        <v>40</v>
      </c>
      <c r="J19" s="1">
        <f t="shared" si="1"/>
        <v>15</v>
      </c>
      <c r="K19" s="1">
        <f t="shared" si="2"/>
        <v>25</v>
      </c>
      <c r="L19" s="1" t="str">
        <f t="shared" si="3"/>
        <v xml:space="preserve"> </v>
      </c>
    </row>
    <row r="20" spans="1:12" x14ac:dyDescent="0.25">
      <c r="A20" s="23">
        <v>45387</v>
      </c>
      <c r="B20" s="1" t="s">
        <v>177</v>
      </c>
      <c r="C20" s="1">
        <v>35</v>
      </c>
      <c r="D20" s="27">
        <v>45387</v>
      </c>
      <c r="E20" s="1" t="s">
        <v>153</v>
      </c>
      <c r="F20" s="1">
        <v>20</v>
      </c>
      <c r="G20" s="1">
        <v>18</v>
      </c>
      <c r="H20" s="1" t="s">
        <v>177</v>
      </c>
      <c r="I20" s="1">
        <f t="shared" si="0"/>
        <v>35</v>
      </c>
      <c r="J20" s="1">
        <f t="shared" si="1"/>
        <v>25</v>
      </c>
      <c r="K20" s="1">
        <f t="shared" si="2"/>
        <v>10</v>
      </c>
      <c r="L20" s="1" t="str">
        <f t="shared" si="3"/>
        <v xml:space="preserve"> </v>
      </c>
    </row>
    <row r="21" spans="1:12" x14ac:dyDescent="0.25">
      <c r="A21" s="24">
        <v>45417</v>
      </c>
      <c r="B21" s="1" t="s">
        <v>153</v>
      </c>
      <c r="C21" s="1">
        <v>20</v>
      </c>
      <c r="D21" s="28">
        <v>45417</v>
      </c>
      <c r="E21" s="1" t="s">
        <v>181</v>
      </c>
      <c r="F21" s="1">
        <v>10</v>
      </c>
      <c r="G21" s="1">
        <v>19</v>
      </c>
      <c r="H21" s="1" t="s">
        <v>153</v>
      </c>
      <c r="I21" s="1">
        <f t="shared" si="0"/>
        <v>20</v>
      </c>
      <c r="J21" s="1">
        <f t="shared" si="1"/>
        <v>20</v>
      </c>
      <c r="K21" s="1">
        <f t="shared" si="2"/>
        <v>0</v>
      </c>
      <c r="L21" s="1" t="str">
        <f t="shared" si="3"/>
        <v>PLEASE UPDATE STOCK</v>
      </c>
    </row>
    <row r="22" spans="1:12" x14ac:dyDescent="0.25">
      <c r="A22" s="23">
        <v>45448</v>
      </c>
      <c r="B22" s="1" t="s">
        <v>181</v>
      </c>
      <c r="C22" s="1">
        <v>100</v>
      </c>
      <c r="D22" s="27">
        <v>45448</v>
      </c>
      <c r="E22" s="1" t="s">
        <v>172</v>
      </c>
      <c r="F22" s="1">
        <v>70</v>
      </c>
      <c r="G22" s="1">
        <v>20</v>
      </c>
      <c r="H22" s="1" t="s">
        <v>181</v>
      </c>
      <c r="I22" s="1">
        <f t="shared" si="0"/>
        <v>100</v>
      </c>
      <c r="J22" s="1">
        <f t="shared" si="1"/>
        <v>10</v>
      </c>
      <c r="K22" s="1">
        <f t="shared" si="2"/>
        <v>90</v>
      </c>
      <c r="L22" s="1" t="str">
        <f t="shared" si="3"/>
        <v xml:space="preserve"> </v>
      </c>
    </row>
    <row r="23" spans="1:12" x14ac:dyDescent="0.25">
      <c r="A23" s="24">
        <v>45478</v>
      </c>
      <c r="B23" s="1" t="s">
        <v>172</v>
      </c>
      <c r="C23" s="1">
        <v>25</v>
      </c>
      <c r="D23" s="28">
        <v>45478</v>
      </c>
      <c r="E23" s="1" t="s">
        <v>137</v>
      </c>
      <c r="F23" s="1">
        <v>15</v>
      </c>
      <c r="G23" s="1">
        <v>21</v>
      </c>
      <c r="H23" s="1" t="s">
        <v>172</v>
      </c>
      <c r="I23" s="1">
        <f t="shared" si="0"/>
        <v>25</v>
      </c>
      <c r="J23" s="1">
        <f t="shared" si="1"/>
        <v>70</v>
      </c>
      <c r="K23" s="1">
        <f t="shared" si="2"/>
        <v>-45</v>
      </c>
      <c r="L23" s="1" t="str">
        <f t="shared" si="3"/>
        <v>PLEASE UPDATE STOCK</v>
      </c>
    </row>
    <row r="24" spans="1:12" x14ac:dyDescent="0.25">
      <c r="A24" s="23">
        <v>45601</v>
      </c>
      <c r="B24" s="1" t="s">
        <v>137</v>
      </c>
      <c r="C24" s="1">
        <v>60</v>
      </c>
      <c r="D24" s="27">
        <v>45601</v>
      </c>
      <c r="E24" s="1" t="s">
        <v>372</v>
      </c>
      <c r="F24" s="1">
        <v>40</v>
      </c>
      <c r="G24" s="1">
        <v>22</v>
      </c>
      <c r="H24" s="1" t="s">
        <v>137</v>
      </c>
      <c r="I24" s="1">
        <f t="shared" si="0"/>
        <v>60</v>
      </c>
      <c r="J24" s="1">
        <f t="shared" si="1"/>
        <v>15</v>
      </c>
      <c r="K24" s="1">
        <f t="shared" si="2"/>
        <v>45</v>
      </c>
      <c r="L24" s="1" t="str">
        <f t="shared" si="3"/>
        <v xml:space="preserve"> </v>
      </c>
    </row>
    <row r="25" spans="1:12" x14ac:dyDescent="0.25">
      <c r="A25" s="24">
        <v>45631</v>
      </c>
      <c r="B25" s="1" t="s">
        <v>372</v>
      </c>
      <c r="C25" s="1">
        <v>30</v>
      </c>
      <c r="D25" s="28">
        <v>45631</v>
      </c>
      <c r="E25" s="1" t="s">
        <v>373</v>
      </c>
      <c r="F25" s="1">
        <v>20</v>
      </c>
      <c r="G25" s="1">
        <v>23</v>
      </c>
      <c r="H25" s="1" t="s">
        <v>372</v>
      </c>
      <c r="I25" s="1">
        <f t="shared" si="0"/>
        <v>30</v>
      </c>
      <c r="J25" s="1">
        <f t="shared" si="1"/>
        <v>40</v>
      </c>
      <c r="K25" s="1">
        <f t="shared" si="2"/>
        <v>-10</v>
      </c>
      <c r="L25" s="1" t="str">
        <f t="shared" si="3"/>
        <v>PLEASE UPDATE STOCK</v>
      </c>
    </row>
    <row r="26" spans="1:12" x14ac:dyDescent="0.25">
      <c r="A26" s="26" t="s">
        <v>318</v>
      </c>
      <c r="B26" s="1" t="s">
        <v>373</v>
      </c>
      <c r="C26" s="1">
        <v>40</v>
      </c>
      <c r="D26" s="30" t="s">
        <v>318</v>
      </c>
      <c r="E26" s="1" t="s">
        <v>374</v>
      </c>
      <c r="F26" s="1">
        <v>25</v>
      </c>
      <c r="G26" s="1">
        <v>24</v>
      </c>
      <c r="H26" s="1" t="s">
        <v>373</v>
      </c>
      <c r="I26" s="1">
        <f t="shared" si="0"/>
        <v>40</v>
      </c>
      <c r="J26" s="1">
        <f t="shared" si="1"/>
        <v>20</v>
      </c>
      <c r="K26" s="1">
        <f t="shared" si="2"/>
        <v>20</v>
      </c>
      <c r="L26" s="1" t="str">
        <f t="shared" si="3"/>
        <v xml:space="preserve"> </v>
      </c>
    </row>
    <row r="27" spans="1:12" x14ac:dyDescent="0.25">
      <c r="A27" s="25" t="s">
        <v>319</v>
      </c>
      <c r="B27" s="1" t="s">
        <v>374</v>
      </c>
      <c r="C27" s="1">
        <v>50</v>
      </c>
      <c r="D27" s="29" t="s">
        <v>319</v>
      </c>
      <c r="E27" s="1" t="s">
        <v>165</v>
      </c>
      <c r="F27" s="1">
        <v>30</v>
      </c>
      <c r="G27" s="1">
        <v>25</v>
      </c>
      <c r="H27" s="1" t="s">
        <v>374</v>
      </c>
      <c r="I27" s="1">
        <f t="shared" si="0"/>
        <v>50</v>
      </c>
      <c r="J27" s="1">
        <f t="shared" si="1"/>
        <v>25</v>
      </c>
      <c r="K27" s="1">
        <f t="shared" si="2"/>
        <v>25</v>
      </c>
      <c r="L27" s="1" t="str">
        <f t="shared" si="3"/>
        <v xml:space="preserve"> </v>
      </c>
    </row>
    <row r="28" spans="1:12" x14ac:dyDescent="0.25">
      <c r="A28" s="26" t="s">
        <v>320</v>
      </c>
      <c r="B28" s="1" t="s">
        <v>165</v>
      </c>
      <c r="C28" s="1">
        <v>30</v>
      </c>
      <c r="D28" s="30" t="s">
        <v>320</v>
      </c>
      <c r="E28" s="1" t="s">
        <v>188</v>
      </c>
      <c r="F28" s="1">
        <v>20</v>
      </c>
      <c r="G28" s="1">
        <v>26</v>
      </c>
      <c r="H28" s="1" t="s">
        <v>165</v>
      </c>
      <c r="I28" s="1">
        <f t="shared" si="0"/>
        <v>30</v>
      </c>
      <c r="J28" s="1">
        <f t="shared" si="1"/>
        <v>30</v>
      </c>
      <c r="K28" s="1">
        <f t="shared" si="2"/>
        <v>0</v>
      </c>
      <c r="L28" s="1" t="str">
        <f t="shared" si="3"/>
        <v>PLEASE UPDATE STOCK</v>
      </c>
    </row>
    <row r="29" spans="1:12" x14ac:dyDescent="0.25">
      <c r="A29" s="25" t="s">
        <v>321</v>
      </c>
      <c r="B29" s="1" t="s">
        <v>188</v>
      </c>
      <c r="C29" s="1">
        <v>80</v>
      </c>
      <c r="D29" s="29" t="s">
        <v>321</v>
      </c>
      <c r="E29" s="1" t="s">
        <v>375</v>
      </c>
      <c r="F29" s="1">
        <v>60</v>
      </c>
      <c r="G29" s="1">
        <v>27</v>
      </c>
      <c r="H29" s="1" t="s">
        <v>188</v>
      </c>
      <c r="I29" s="1">
        <f t="shared" si="0"/>
        <v>80</v>
      </c>
      <c r="J29" s="1">
        <f t="shared" si="1"/>
        <v>20</v>
      </c>
      <c r="K29" s="1">
        <f t="shared" si="2"/>
        <v>60</v>
      </c>
      <c r="L29" s="1" t="str">
        <f t="shared" si="3"/>
        <v xml:space="preserve"> </v>
      </c>
    </row>
    <row r="30" spans="1:12" x14ac:dyDescent="0.25">
      <c r="A30" s="26" t="s">
        <v>322</v>
      </c>
      <c r="B30" s="1" t="s">
        <v>189</v>
      </c>
      <c r="C30" s="1">
        <v>40</v>
      </c>
      <c r="D30" s="30" t="s">
        <v>322</v>
      </c>
      <c r="E30" s="1" t="s">
        <v>174</v>
      </c>
      <c r="F30" s="1">
        <v>25</v>
      </c>
      <c r="G30" s="1">
        <v>28</v>
      </c>
      <c r="H30" s="1" t="s">
        <v>375</v>
      </c>
      <c r="I30" s="1">
        <f t="shared" si="0"/>
        <v>0</v>
      </c>
      <c r="J30" s="1">
        <f t="shared" si="1"/>
        <v>60</v>
      </c>
      <c r="K30" s="1">
        <f t="shared" si="2"/>
        <v>-60</v>
      </c>
      <c r="L30" s="1" t="str">
        <f t="shared" si="3"/>
        <v>PLEASE UPDATE STOCK</v>
      </c>
    </row>
    <row r="31" spans="1:12" x14ac:dyDescent="0.25">
      <c r="A31" s="25" t="s">
        <v>323</v>
      </c>
      <c r="B31" s="1" t="s">
        <v>174</v>
      </c>
      <c r="C31" s="1">
        <v>25</v>
      </c>
      <c r="D31" s="29" t="s">
        <v>323</v>
      </c>
      <c r="E31" s="1" t="s">
        <v>161</v>
      </c>
      <c r="F31" s="1">
        <v>30</v>
      </c>
      <c r="G31" s="1">
        <v>29</v>
      </c>
      <c r="H31" s="1" t="s">
        <v>174</v>
      </c>
      <c r="I31" s="1">
        <f t="shared" si="0"/>
        <v>25</v>
      </c>
      <c r="J31" s="1">
        <f t="shared" si="1"/>
        <v>25</v>
      </c>
      <c r="K31" s="1">
        <f t="shared" si="2"/>
        <v>0</v>
      </c>
      <c r="L31" s="1" t="str">
        <f t="shared" si="3"/>
        <v>PLEASE UPDATE STOCK</v>
      </c>
    </row>
    <row r="32" spans="1:12" x14ac:dyDescent="0.25">
      <c r="A32" s="26" t="s">
        <v>324</v>
      </c>
      <c r="B32" s="1" t="s">
        <v>161</v>
      </c>
      <c r="C32" s="1">
        <v>50</v>
      </c>
      <c r="D32" s="30" t="s">
        <v>324</v>
      </c>
      <c r="E32" s="1" t="s">
        <v>168</v>
      </c>
      <c r="F32" s="1">
        <v>35</v>
      </c>
      <c r="G32" s="1">
        <v>30</v>
      </c>
      <c r="H32" s="1" t="s">
        <v>161</v>
      </c>
      <c r="I32" s="1">
        <f t="shared" si="0"/>
        <v>50</v>
      </c>
      <c r="J32" s="1">
        <f t="shared" si="1"/>
        <v>30</v>
      </c>
      <c r="K32" s="1">
        <f t="shared" si="2"/>
        <v>20</v>
      </c>
      <c r="L32" s="1" t="str">
        <f t="shared" si="3"/>
        <v xml:space="preserve"> </v>
      </c>
    </row>
    <row r="33" spans="1:12" x14ac:dyDescent="0.25">
      <c r="A33" s="23">
        <v>45388</v>
      </c>
      <c r="B33" s="1" t="s">
        <v>168</v>
      </c>
      <c r="C33" s="1">
        <v>60</v>
      </c>
      <c r="D33" s="27">
        <v>45388</v>
      </c>
      <c r="E33" s="1" t="s">
        <v>376</v>
      </c>
      <c r="F33" s="1">
        <v>25</v>
      </c>
      <c r="G33" s="1">
        <v>31</v>
      </c>
      <c r="H33" s="1" t="s">
        <v>168</v>
      </c>
      <c r="I33" s="1">
        <f t="shared" si="0"/>
        <v>60</v>
      </c>
      <c r="J33" s="1">
        <f t="shared" si="1"/>
        <v>35</v>
      </c>
      <c r="K33" s="1">
        <f t="shared" si="2"/>
        <v>25</v>
      </c>
      <c r="L33" s="1" t="str">
        <f t="shared" si="3"/>
        <v xml:space="preserve"> </v>
      </c>
    </row>
    <row r="34" spans="1:12" x14ac:dyDescent="0.25">
      <c r="A34" s="24">
        <v>45418</v>
      </c>
      <c r="B34" s="1" t="s">
        <v>376</v>
      </c>
      <c r="C34" s="1">
        <v>40</v>
      </c>
      <c r="D34" s="28">
        <v>45418</v>
      </c>
      <c r="E34" s="1" t="s">
        <v>377</v>
      </c>
      <c r="F34" s="1">
        <v>50</v>
      </c>
      <c r="G34" s="1">
        <v>32</v>
      </c>
      <c r="H34" s="1" t="s">
        <v>376</v>
      </c>
      <c r="I34" s="1">
        <f t="shared" si="0"/>
        <v>40</v>
      </c>
      <c r="J34" s="1">
        <f t="shared" si="1"/>
        <v>25</v>
      </c>
      <c r="K34" s="1">
        <f t="shared" si="2"/>
        <v>15</v>
      </c>
      <c r="L34" s="1" t="str">
        <f t="shared" si="3"/>
        <v xml:space="preserve"> </v>
      </c>
    </row>
    <row r="35" spans="1:12" x14ac:dyDescent="0.25">
      <c r="A35" s="23">
        <v>45449</v>
      </c>
      <c r="B35" s="1" t="s">
        <v>187</v>
      </c>
      <c r="C35" s="1">
        <v>70</v>
      </c>
      <c r="D35" s="27">
        <v>45449</v>
      </c>
      <c r="E35" s="1" t="s">
        <v>154</v>
      </c>
      <c r="F35" s="1">
        <v>10</v>
      </c>
      <c r="G35" s="1">
        <v>33</v>
      </c>
      <c r="H35" s="1" t="s">
        <v>377</v>
      </c>
      <c r="I35" s="1">
        <f t="shared" si="0"/>
        <v>0</v>
      </c>
      <c r="J35" s="1">
        <f t="shared" si="1"/>
        <v>50</v>
      </c>
      <c r="K35" s="1">
        <f t="shared" si="2"/>
        <v>-50</v>
      </c>
      <c r="L35" s="1" t="str">
        <f t="shared" si="3"/>
        <v>PLEASE UPDATE STOCK</v>
      </c>
    </row>
    <row r="36" spans="1:12" x14ac:dyDescent="0.25">
      <c r="A36" s="24">
        <v>45479</v>
      </c>
      <c r="B36" s="1" t="s">
        <v>154</v>
      </c>
      <c r="C36" s="1">
        <v>20</v>
      </c>
      <c r="D36" s="28">
        <v>45479</v>
      </c>
      <c r="E36" s="1" t="s">
        <v>378</v>
      </c>
      <c r="F36" s="1">
        <v>20</v>
      </c>
      <c r="G36" s="1">
        <v>34</v>
      </c>
      <c r="H36" s="1" t="s">
        <v>154</v>
      </c>
      <c r="I36" s="1">
        <f t="shared" si="0"/>
        <v>20</v>
      </c>
      <c r="J36" s="1">
        <f t="shared" si="1"/>
        <v>10</v>
      </c>
      <c r="K36" s="1">
        <f t="shared" si="2"/>
        <v>10</v>
      </c>
      <c r="L36" s="1" t="str">
        <f t="shared" si="3"/>
        <v xml:space="preserve"> </v>
      </c>
    </row>
    <row r="37" spans="1:12" x14ac:dyDescent="0.25">
      <c r="A37" s="25" t="s">
        <v>344</v>
      </c>
      <c r="B37" s="1" t="s">
        <v>180</v>
      </c>
      <c r="C37" s="1">
        <v>30</v>
      </c>
      <c r="D37" s="29" t="s">
        <v>344</v>
      </c>
      <c r="E37" s="1" t="s">
        <v>133</v>
      </c>
      <c r="F37" s="1">
        <v>80</v>
      </c>
      <c r="G37" s="1">
        <v>35</v>
      </c>
      <c r="H37" s="1" t="s">
        <v>378</v>
      </c>
      <c r="I37" s="1">
        <f t="shared" si="0"/>
        <v>0</v>
      </c>
      <c r="J37" s="1">
        <f t="shared" si="1"/>
        <v>20</v>
      </c>
      <c r="K37" s="1">
        <f t="shared" si="2"/>
        <v>-20</v>
      </c>
      <c r="L37" s="1" t="str">
        <f t="shared" si="3"/>
        <v>PLEASE UPDATE STOCK</v>
      </c>
    </row>
    <row r="38" spans="1:12" x14ac:dyDescent="0.25">
      <c r="A38" s="26" t="s">
        <v>345</v>
      </c>
      <c r="B38" s="1" t="s">
        <v>133</v>
      </c>
      <c r="C38" s="1">
        <v>100</v>
      </c>
      <c r="D38" s="30" t="s">
        <v>345</v>
      </c>
      <c r="E38" s="1" t="s">
        <v>140</v>
      </c>
      <c r="F38" s="1">
        <v>30</v>
      </c>
      <c r="G38" s="1">
        <v>36</v>
      </c>
      <c r="H38" s="1" t="s">
        <v>133</v>
      </c>
      <c r="I38" s="1">
        <f t="shared" si="0"/>
        <v>100</v>
      </c>
      <c r="J38" s="1">
        <f t="shared" si="1"/>
        <v>80</v>
      </c>
      <c r="K38" s="1">
        <f t="shared" si="2"/>
        <v>20</v>
      </c>
      <c r="L38" s="1" t="str">
        <f t="shared" si="3"/>
        <v xml:space="preserve"> </v>
      </c>
    </row>
    <row r="39" spans="1:12" x14ac:dyDescent="0.25">
      <c r="A39" s="24">
        <v>45298</v>
      </c>
      <c r="B39" s="1" t="s">
        <v>140</v>
      </c>
      <c r="C39" s="1">
        <v>50</v>
      </c>
      <c r="D39" s="28">
        <v>45298</v>
      </c>
      <c r="E39" s="1" t="s">
        <v>160</v>
      </c>
      <c r="F39" s="1">
        <v>25</v>
      </c>
      <c r="G39" s="1">
        <v>37</v>
      </c>
      <c r="H39" s="1" t="s">
        <v>140</v>
      </c>
      <c r="I39" s="1">
        <f t="shared" si="0"/>
        <v>50</v>
      </c>
      <c r="J39" s="1">
        <f t="shared" si="1"/>
        <v>30</v>
      </c>
      <c r="K39" s="1">
        <f t="shared" si="2"/>
        <v>20</v>
      </c>
      <c r="L39" s="1" t="str">
        <f t="shared" si="3"/>
        <v xml:space="preserve"> </v>
      </c>
    </row>
    <row r="40" spans="1:12" x14ac:dyDescent="0.25">
      <c r="A40" s="23">
        <v>45329</v>
      </c>
      <c r="B40" s="1" t="s">
        <v>160</v>
      </c>
      <c r="C40" s="1">
        <v>40</v>
      </c>
      <c r="D40" s="27">
        <v>45329</v>
      </c>
      <c r="E40" s="1" t="s">
        <v>145</v>
      </c>
      <c r="F40" s="1">
        <v>20</v>
      </c>
      <c r="G40" s="1">
        <v>38</v>
      </c>
      <c r="H40" s="1" t="s">
        <v>160</v>
      </c>
      <c r="I40" s="1">
        <f t="shared" si="0"/>
        <v>40</v>
      </c>
      <c r="J40" s="1">
        <f t="shared" si="1"/>
        <v>25</v>
      </c>
      <c r="K40" s="1">
        <f t="shared" si="2"/>
        <v>15</v>
      </c>
      <c r="L40" s="1" t="str">
        <f t="shared" si="3"/>
        <v xml:space="preserve"> </v>
      </c>
    </row>
    <row r="41" spans="1:12" x14ac:dyDescent="0.25">
      <c r="A41" s="24">
        <v>45358</v>
      </c>
      <c r="B41" s="1" t="s">
        <v>145</v>
      </c>
      <c r="C41" s="1">
        <v>30</v>
      </c>
      <c r="D41" s="28">
        <v>45358</v>
      </c>
      <c r="E41" s="1" t="s">
        <v>379</v>
      </c>
      <c r="F41" s="1">
        <v>40</v>
      </c>
      <c r="G41" s="1">
        <v>39</v>
      </c>
      <c r="H41" s="1" t="s">
        <v>145</v>
      </c>
      <c r="I41" s="1">
        <f t="shared" si="0"/>
        <v>30</v>
      </c>
      <c r="J41" s="1">
        <f t="shared" si="1"/>
        <v>20</v>
      </c>
      <c r="K41" s="1">
        <f t="shared" si="2"/>
        <v>10</v>
      </c>
      <c r="L41" s="1" t="str">
        <f t="shared" si="3"/>
        <v xml:space="preserve"> </v>
      </c>
    </row>
    <row r="42" spans="1:12" x14ac:dyDescent="0.25">
      <c r="A42" s="26" t="s">
        <v>346</v>
      </c>
      <c r="B42" s="1" t="s">
        <v>379</v>
      </c>
      <c r="C42" s="1">
        <v>60</v>
      </c>
      <c r="D42" s="30" t="s">
        <v>346</v>
      </c>
      <c r="E42" s="1" t="s">
        <v>141</v>
      </c>
      <c r="F42" s="1">
        <v>15</v>
      </c>
      <c r="G42" s="1">
        <v>40</v>
      </c>
      <c r="H42" s="1" t="s">
        <v>379</v>
      </c>
      <c r="I42" s="1">
        <f t="shared" si="0"/>
        <v>60</v>
      </c>
      <c r="J42" s="1">
        <f t="shared" si="1"/>
        <v>40</v>
      </c>
      <c r="K42" s="1">
        <f t="shared" si="2"/>
        <v>20</v>
      </c>
      <c r="L42" s="1" t="str">
        <f t="shared" si="3"/>
        <v xml:space="preserve"> </v>
      </c>
    </row>
    <row r="43" spans="1:12" x14ac:dyDescent="0.25">
      <c r="A43" s="24">
        <v>45419</v>
      </c>
      <c r="B43" s="1" t="s">
        <v>141</v>
      </c>
      <c r="C43" s="1">
        <v>25</v>
      </c>
      <c r="D43" s="28">
        <v>45419</v>
      </c>
      <c r="E43" s="1" t="s">
        <v>190</v>
      </c>
      <c r="F43" s="1">
        <v>70</v>
      </c>
      <c r="G43" s="1">
        <v>41</v>
      </c>
      <c r="H43" s="1" t="s">
        <v>141</v>
      </c>
      <c r="I43" s="1">
        <f t="shared" si="0"/>
        <v>25</v>
      </c>
      <c r="J43" s="1">
        <f t="shared" si="1"/>
        <v>15</v>
      </c>
      <c r="K43" s="1">
        <f t="shared" si="2"/>
        <v>10</v>
      </c>
      <c r="L43" s="1" t="str">
        <f t="shared" si="3"/>
        <v xml:space="preserve"> </v>
      </c>
    </row>
    <row r="44" spans="1:12" x14ac:dyDescent="0.25">
      <c r="A44" s="26" t="s">
        <v>347</v>
      </c>
      <c r="B44" s="1" t="s">
        <v>190</v>
      </c>
      <c r="C44" s="1">
        <v>90</v>
      </c>
      <c r="D44" s="30" t="s">
        <v>347</v>
      </c>
      <c r="E44" s="1"/>
      <c r="F44" s="1"/>
      <c r="G44" s="1">
        <v>42</v>
      </c>
      <c r="H44" s="1" t="s">
        <v>190</v>
      </c>
      <c r="I44" s="1">
        <f t="shared" si="0"/>
        <v>90</v>
      </c>
      <c r="J44" s="1">
        <f t="shared" si="1"/>
        <v>70</v>
      </c>
      <c r="K44" s="1">
        <f t="shared" si="2"/>
        <v>20</v>
      </c>
      <c r="L44" s="1" t="str">
        <f t="shared" si="3"/>
        <v xml:space="preserve"> </v>
      </c>
    </row>
    <row r="45" spans="1:12" x14ac:dyDescent="0.25">
      <c r="B45" s="1"/>
      <c r="C45" s="1"/>
      <c r="D45" s="1"/>
      <c r="E45" s="1"/>
      <c r="F45" s="1"/>
      <c r="G45" s="1"/>
      <c r="H45" s="1"/>
      <c r="I45" s="1"/>
      <c r="J45" s="1"/>
      <c r="K45" s="1"/>
      <c r="L45" s="1"/>
    </row>
    <row r="46" spans="1:12" x14ac:dyDescent="0.25">
      <c r="A46" s="1"/>
      <c r="B46" s="1"/>
      <c r="C46" s="1"/>
      <c r="D46" s="1"/>
      <c r="E46" s="1"/>
      <c r="F46" s="1"/>
      <c r="G46" s="1"/>
      <c r="H46" s="1"/>
      <c r="I46" s="1"/>
      <c r="J46" s="1"/>
      <c r="K46" s="1"/>
      <c r="L46" s="1"/>
    </row>
    <row r="47" spans="1:12" x14ac:dyDescent="0.25">
      <c r="A47" s="1"/>
      <c r="B47" s="1"/>
      <c r="C47" s="1"/>
      <c r="D47" s="1"/>
      <c r="E47" s="1"/>
      <c r="F47" s="1"/>
      <c r="G47" s="1"/>
      <c r="H47" s="1"/>
      <c r="I47" s="1"/>
      <c r="J47" s="1"/>
      <c r="K47" s="1"/>
      <c r="L47" s="1"/>
    </row>
    <row r="48" spans="1:12" x14ac:dyDescent="0.25">
      <c r="A48" s="1"/>
      <c r="B48" s="1"/>
      <c r="C48" s="1"/>
      <c r="D48" s="1"/>
      <c r="E48" s="1"/>
      <c r="F48" s="1"/>
      <c r="G48" s="1"/>
      <c r="H48" s="1"/>
      <c r="I48" s="1"/>
      <c r="J48" s="1"/>
      <c r="K48" s="1"/>
      <c r="L48" s="1"/>
    </row>
    <row r="49" spans="1:12" x14ac:dyDescent="0.25">
      <c r="A49" s="1"/>
      <c r="B49" s="1"/>
      <c r="C49" s="1"/>
      <c r="D49" s="1"/>
      <c r="E49" s="1"/>
      <c r="F49" s="1"/>
      <c r="G49" s="1"/>
      <c r="H49" s="1"/>
      <c r="I49" s="1"/>
      <c r="J49" s="1"/>
      <c r="K49" s="1"/>
      <c r="L49" s="1"/>
    </row>
    <row r="50" spans="1:12" x14ac:dyDescent="0.25">
      <c r="A50" s="1"/>
      <c r="B50" s="1"/>
      <c r="C50" s="1"/>
      <c r="D50" s="1"/>
      <c r="E50" s="1"/>
      <c r="F50" s="1"/>
      <c r="G50" s="1"/>
      <c r="H50" s="1"/>
      <c r="I50" s="1"/>
      <c r="J50" s="1"/>
      <c r="K50" s="1"/>
      <c r="L50" s="1"/>
    </row>
    <row r="51" spans="1:12" x14ac:dyDescent="0.25">
      <c r="A51" s="1"/>
      <c r="B51" s="1"/>
      <c r="C51" s="1"/>
      <c r="D51" s="1"/>
      <c r="E51" s="1"/>
      <c r="F51" s="1"/>
      <c r="G51" s="1"/>
      <c r="H51" s="1"/>
      <c r="I51" s="1"/>
      <c r="J51" s="1"/>
      <c r="K51" s="1"/>
      <c r="L51" s="1"/>
    </row>
    <row r="52" spans="1:12" x14ac:dyDescent="0.25">
      <c r="A52" s="1"/>
      <c r="B52" s="1"/>
      <c r="C52" s="1"/>
      <c r="D52" s="1"/>
      <c r="E52" s="1"/>
      <c r="F52" s="1"/>
      <c r="G52" s="1"/>
      <c r="H52" s="1"/>
      <c r="I52" s="1"/>
      <c r="J52" s="1"/>
      <c r="K52" s="1"/>
      <c r="L52" s="1"/>
    </row>
    <row r="53" spans="1:12" x14ac:dyDescent="0.25">
      <c r="A53" s="1"/>
      <c r="B53" s="1"/>
      <c r="C53" s="1"/>
      <c r="D53" s="1"/>
      <c r="E53" s="1"/>
      <c r="F53" s="1"/>
      <c r="G53" s="1"/>
      <c r="H53" s="1"/>
      <c r="I53" s="1"/>
      <c r="J53" s="1"/>
      <c r="K53" s="1"/>
      <c r="L53" s="1"/>
    </row>
    <row r="54" spans="1:12" x14ac:dyDescent="0.25">
      <c r="A54" s="1"/>
      <c r="B54" s="1"/>
      <c r="C54" s="1"/>
      <c r="D54" s="1"/>
      <c r="E54" s="1"/>
      <c r="F54" s="1"/>
      <c r="G54" s="1"/>
      <c r="H54" s="1"/>
      <c r="I54" s="1"/>
      <c r="J54" s="1"/>
      <c r="K54" s="1"/>
      <c r="L54" s="1"/>
    </row>
    <row r="55" spans="1:12" x14ac:dyDescent="0.25">
      <c r="A55" s="1"/>
      <c r="B55" s="1"/>
      <c r="C55" s="1"/>
      <c r="D55" s="1"/>
      <c r="E55" s="1"/>
      <c r="F55" s="1"/>
      <c r="G55" s="1"/>
      <c r="H55" s="1"/>
      <c r="I55" s="1"/>
      <c r="J55" s="1"/>
      <c r="K55" s="1"/>
      <c r="L55" s="1"/>
    </row>
    <row r="56" spans="1:12" x14ac:dyDescent="0.25">
      <c r="A56" s="1"/>
      <c r="B56" s="1"/>
      <c r="C56" s="1"/>
      <c r="D56" s="1"/>
      <c r="E56" s="1"/>
      <c r="F56" s="1"/>
      <c r="G56" s="1"/>
      <c r="H56" s="1"/>
      <c r="I56" s="1"/>
      <c r="J56" s="1"/>
      <c r="K56" s="1"/>
      <c r="L56" s="1"/>
    </row>
    <row r="57" spans="1:12" x14ac:dyDescent="0.25">
      <c r="A57" s="1"/>
      <c r="B57" s="1"/>
      <c r="C57" s="1"/>
      <c r="D57" s="1"/>
      <c r="E57" s="1"/>
      <c r="F57" s="1"/>
      <c r="G57" s="1"/>
      <c r="H57" s="1"/>
      <c r="I57" s="1"/>
      <c r="J57" s="1"/>
      <c r="K57" s="1"/>
      <c r="L57" s="1"/>
    </row>
    <row r="58" spans="1:12" x14ac:dyDescent="0.25">
      <c r="A58" s="1"/>
      <c r="B58" s="1"/>
      <c r="C58" s="1"/>
      <c r="D58" s="1"/>
      <c r="E58" s="1"/>
      <c r="F58" s="1"/>
      <c r="G58" s="1"/>
      <c r="H58" s="1"/>
      <c r="I58" s="1"/>
      <c r="J58" s="1"/>
      <c r="K58" s="1"/>
      <c r="L58" s="1"/>
    </row>
    <row r="59" spans="1:12" x14ac:dyDescent="0.25">
      <c r="A59" s="1"/>
      <c r="B59" s="1"/>
      <c r="C59" s="1"/>
      <c r="D59" s="1"/>
      <c r="E59" s="1"/>
      <c r="F59" s="1"/>
      <c r="G59" s="1"/>
      <c r="H59" s="1"/>
      <c r="I59" s="1"/>
      <c r="J59" s="1"/>
      <c r="K59" s="1"/>
      <c r="L59" s="1"/>
    </row>
    <row r="60" spans="1:12" x14ac:dyDescent="0.25">
      <c r="A60" s="1"/>
      <c r="B60" s="1"/>
      <c r="C60" s="1"/>
      <c r="D60" s="1"/>
      <c r="E60" s="1"/>
      <c r="F60" s="1"/>
      <c r="G60" s="1"/>
      <c r="H60" s="1"/>
      <c r="I60" s="1"/>
      <c r="J60" s="1"/>
      <c r="K60" s="1"/>
      <c r="L60" s="1"/>
    </row>
    <row r="61" spans="1:12" x14ac:dyDescent="0.25">
      <c r="A61" s="1"/>
      <c r="B61" s="1"/>
      <c r="C61" s="1"/>
      <c r="D61" s="1"/>
      <c r="E61" s="1"/>
      <c r="F61" s="1"/>
      <c r="G61" s="1"/>
      <c r="H61" s="1"/>
      <c r="I61" s="1"/>
      <c r="J61" s="1"/>
      <c r="K61" s="1"/>
      <c r="L61" s="1"/>
    </row>
    <row r="62" spans="1:12" x14ac:dyDescent="0.25">
      <c r="A62" s="1"/>
      <c r="B62" s="1"/>
      <c r="C62" s="1"/>
      <c r="D62" s="1"/>
      <c r="E62" s="1"/>
      <c r="F62" s="1"/>
      <c r="G62" s="1"/>
      <c r="H62" s="1"/>
      <c r="I62" s="1"/>
      <c r="J62" s="1"/>
      <c r="K62" s="1"/>
      <c r="L62" s="1"/>
    </row>
    <row r="63" spans="1:12" x14ac:dyDescent="0.25">
      <c r="A63" s="1"/>
      <c r="B63" s="1"/>
      <c r="C63" s="1"/>
      <c r="D63" s="1"/>
      <c r="E63" s="1"/>
      <c r="F63" s="1"/>
      <c r="G63" s="1"/>
      <c r="H63" s="1"/>
      <c r="I63" s="1"/>
      <c r="J63" s="1"/>
      <c r="K63" s="1"/>
      <c r="L63" s="1"/>
    </row>
    <row r="64" spans="1:12" x14ac:dyDescent="0.25">
      <c r="A64" s="1"/>
      <c r="B64" s="1"/>
      <c r="C64" s="1"/>
      <c r="D64" s="1"/>
      <c r="E64" s="1"/>
      <c r="F64" s="1"/>
      <c r="G64" s="1"/>
      <c r="H64" s="1"/>
      <c r="I64" s="1"/>
      <c r="J64" s="1"/>
      <c r="K64" s="1"/>
      <c r="L64" s="1"/>
    </row>
    <row r="65" spans="1:12" x14ac:dyDescent="0.25">
      <c r="A65" s="1"/>
      <c r="B65" s="1"/>
      <c r="C65" s="1"/>
      <c r="D65" s="1"/>
      <c r="E65" s="1"/>
      <c r="F65" s="1"/>
      <c r="G65" s="1"/>
      <c r="H65" s="1"/>
      <c r="I65" s="1"/>
      <c r="J65" s="1"/>
      <c r="K65" s="1"/>
      <c r="L65" s="1"/>
    </row>
    <row r="66" spans="1:12" x14ac:dyDescent="0.25">
      <c r="B66" s="1"/>
    </row>
  </sheetData>
  <conditionalFormatting sqref="K1:K44 K248:K1048576">
    <cfRule type="cellIs" dxfId="3" priority="1" operator="lessThan">
      <formula>5</formula>
    </cfRule>
    <cfRule type="cellIs" dxfId="2" priority="4" operator="lessThan">
      <formula>0</formula>
    </cfRule>
  </conditionalFormatting>
  <conditionalFormatting sqref="L1:L1048576">
    <cfRule type="containsText" dxfId="1" priority="2" operator="containsText" text="PLEASE UPDATE STOCK">
      <formula>NOT(ISERROR(SEARCH("PLEASE UPDATE STOCK",L1)))</formula>
    </cfRule>
    <cfRule type="containsText" dxfId="0" priority="3" operator="containsText" text="PLEASE UPDATE STOCK">
      <formula>NOT(ISERROR(SEARCH("PLEASE UPDATE STOCK",L1)))</formula>
    </cfRule>
  </conditionalFormatting>
  <dataValidations count="1">
    <dataValidation type="list" allowBlank="1" showInputMessage="1" showErrorMessage="1" sqref="H3:H65 E3:E64 B3:B65" xr:uid="{E274B5EF-6862-4D88-8524-A97CCA603E42}">
      <formula1>$B$3:$B$44</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Sheet11</vt:lpstr>
      <vt:lpstr>Sheet10</vt:lpstr>
      <vt:lpstr>Sheet1</vt:lpstr>
      <vt:lpstr>START</vt:lpstr>
      <vt:lpstr>DATA</vt:lpstr>
      <vt:lpstr>DASHBOARD</vt:lpstr>
      <vt:lpstr>GENDER</vt:lpstr>
      <vt:lpstr>SEGMENT</vt:lpstr>
      <vt:lpstr>REGION</vt:lpstr>
      <vt:lpstr>CITY</vt:lpstr>
      <vt:lpstr>MONTH</vt:lpstr>
      <vt:lpstr>TOP PRODUCTS</vt:lpstr>
      <vt:lpstr>TOP CUSTOMERS</vt:lpstr>
      <vt:lpstr>STOCK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dc:creator>
  <cp:lastModifiedBy>3</cp:lastModifiedBy>
  <dcterms:created xsi:type="dcterms:W3CDTF">2024-07-24T16:12:47Z</dcterms:created>
  <dcterms:modified xsi:type="dcterms:W3CDTF">2024-09-25T04:22:18Z</dcterms:modified>
</cp:coreProperties>
</file>